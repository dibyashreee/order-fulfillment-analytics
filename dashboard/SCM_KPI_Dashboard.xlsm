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_3\excel\"/>
    </mc:Choice>
  </mc:AlternateContent>
  <xr:revisionPtr revIDLastSave="0" documentId="13_ncr:1_{577B421D-B785-4152-B140-CB328EB4BC9F}" xr6:coauthVersionLast="47" xr6:coauthVersionMax="47" xr10:uidLastSave="{00000000-0000-0000-0000-000000000000}"/>
  <bookViews>
    <workbookView xWindow="-108" yWindow="-108" windowWidth="23256" windowHeight="12456" xr2:uid="{05B8A992-C08B-437E-8892-92330D8FCD0D}"/>
  </bookViews>
  <sheets>
    <sheet name="KPI Dashboard" sheetId="1" r:id="rId1"/>
    <sheet name="Forecast" sheetId="9" r:id="rId2"/>
    <sheet name="Raw Data" sheetId="2" r:id="rId3"/>
    <sheet name="Pivot" sheetId="3" state="hidden" r:id="rId4"/>
    <sheet name="monthly_problem_order_rate" sheetId="11" state="hidden" r:id="rId5"/>
    <sheet name="Pivot Table 1" sheetId="5" state="hidden" r:id="rId6"/>
    <sheet name="Pivot Table 2" sheetId="6" state="hidden" r:id="rId7"/>
    <sheet name="Pivot Table 3" sheetId="7" state="hidden" r:id="rId8"/>
  </sheets>
  <definedNames>
    <definedName name="AvgLateD">'KPI Dashboard'!$D$6</definedName>
    <definedName name="AvgLeadTime">'KPI Dashboard'!$D$4</definedName>
    <definedName name="AvgOTD">'KPI Dashboard'!$A$4</definedName>
    <definedName name="BestMonthotd">'KPI Dashboard'!$G$6</definedName>
    <definedName name="ExternalData_1" localSheetId="1" hidden="1">Forecast!$A$1:$F$118</definedName>
    <definedName name="ExternalData_1" localSheetId="4" hidden="1">monthly_problem_order_rate!$A$1:$B$38</definedName>
    <definedName name="ExternalData_1" localSheetId="2" hidden="1">'Raw Data'!$A$1:$G$854</definedName>
    <definedName name="TotalLateOrders">'KPI Dashboard'!$A$6</definedName>
    <definedName name="TotalOrders">'KPI Dashboard'!$G$4</definedName>
  </definedNames>
  <calcPr calcId="191029"/>
  <pivotCaches>
    <pivotCache cacheId="15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1" l="1"/>
  <c r="G7" i="1"/>
  <c r="D7" i="1"/>
  <c r="A7" i="1"/>
  <c r="G5" i="1"/>
  <c r="D5" i="1"/>
  <c r="Q3" i="9" a="1"/>
  <c r="Q3" i="9" s="1"/>
  <c r="R3" i="9" a="1"/>
  <c r="R3" i="9" s="1"/>
  <c r="Q4" i="9" a="1"/>
  <c r="Q4" i="9" s="1"/>
  <c r="R4" i="9" a="1"/>
  <c r="R4" i="9" s="1"/>
  <c r="Q5" i="9" a="1"/>
  <c r="Q5" i="9" s="1"/>
  <c r="R5" i="9" a="1"/>
  <c r="R5" i="9" s="1"/>
  <c r="Q6" i="9" a="1"/>
  <c r="Q6" i="9" s="1"/>
  <c r="R6" i="9" a="1"/>
  <c r="R6" i="9" s="1"/>
  <c r="Q7" i="9" a="1"/>
  <c r="Q7" i="9" s="1"/>
  <c r="R7" i="9" a="1"/>
  <c r="R7" i="9" s="1"/>
  <c r="Q8" i="9" a="1"/>
  <c r="Q8" i="9" s="1"/>
  <c r="R8" i="9" a="1"/>
  <c r="R8" i="9" s="1"/>
  <c r="Q9" i="9" a="1"/>
  <c r="Q9" i="9" s="1"/>
  <c r="R9" i="9" a="1"/>
  <c r="R9" i="9" s="1"/>
  <c r="Q10" i="9" a="1"/>
  <c r="Q10" i="9" s="1"/>
  <c r="R10" i="9" a="1"/>
  <c r="R10" i="9" s="1"/>
  <c r="Q11" i="9" a="1"/>
  <c r="Q11" i="9" s="1"/>
  <c r="R11" i="9" a="1"/>
  <c r="R11" i="9" s="1"/>
  <c r="Q12" i="9" a="1"/>
  <c r="Q12" i="9" s="1"/>
  <c r="R12" i="9" a="1"/>
  <c r="R12" i="9" s="1"/>
  <c r="Q13" i="9" a="1"/>
  <c r="Q13" i="9" s="1"/>
  <c r="R13" i="9" a="1"/>
  <c r="R13" i="9" s="1"/>
  <c r="Q14" i="9" a="1"/>
  <c r="Q14" i="9" s="1"/>
  <c r="R14" i="9" a="1"/>
  <c r="R14" i="9" s="1"/>
  <c r="Q15" i="9" a="1"/>
  <c r="Q15" i="9" s="1"/>
  <c r="R15" i="9" a="1"/>
  <c r="R15" i="9" s="1"/>
  <c r="Q16" i="9" a="1"/>
  <c r="Q16" i="9" s="1"/>
  <c r="R16" i="9" a="1"/>
  <c r="R16" i="9" s="1"/>
  <c r="Q17" i="9" a="1"/>
  <c r="Q17" i="9" s="1"/>
  <c r="R17" i="9" a="1"/>
  <c r="R17" i="9" s="1"/>
  <c r="Q18" i="9" a="1"/>
  <c r="Q18" i="9" s="1"/>
  <c r="R18" i="9" a="1"/>
  <c r="R18" i="9" s="1"/>
  <c r="Q19" i="9" a="1"/>
  <c r="Q19" i="9" s="1"/>
  <c r="R19" i="9" a="1"/>
  <c r="R19" i="9" s="1"/>
  <c r="Q20" i="9" a="1"/>
  <c r="Q20" i="9" s="1"/>
  <c r="R20" i="9" a="1"/>
  <c r="R20" i="9" s="1"/>
  <c r="Q21" i="9" a="1"/>
  <c r="Q21" i="9" s="1"/>
  <c r="R21" i="9" a="1"/>
  <c r="R21" i="9" s="1"/>
  <c r="Q22" i="9" a="1"/>
  <c r="Q22" i="9" s="1"/>
  <c r="R22" i="9" a="1"/>
  <c r="R22" i="9" s="1"/>
  <c r="Q23" i="9" a="1"/>
  <c r="Q23" i="9" s="1"/>
  <c r="R23" i="9" a="1"/>
  <c r="R23" i="9" s="1"/>
  <c r="Q24" i="9" a="1"/>
  <c r="Q24" i="9" s="1"/>
  <c r="R24" i="9" a="1"/>
  <c r="R24" i="9" s="1"/>
  <c r="Q25" i="9" a="1"/>
  <c r="Q25" i="9" s="1"/>
  <c r="R25" i="9" a="1"/>
  <c r="R25" i="9" s="1"/>
  <c r="Q26" i="9" a="1"/>
  <c r="Q26" i="9" s="1"/>
  <c r="R26" i="9" a="1"/>
  <c r="R26" i="9" s="1"/>
  <c r="Q27" i="9" a="1"/>
  <c r="Q27" i="9" s="1"/>
  <c r="R27" i="9" a="1"/>
  <c r="R27" i="9" s="1"/>
  <c r="Q28" i="9" a="1"/>
  <c r="Q28" i="9" s="1"/>
  <c r="R28" i="9" a="1"/>
  <c r="R28" i="9" s="1"/>
  <c r="Q29" i="9" a="1"/>
  <c r="Q29" i="9" s="1"/>
  <c r="R29" i="9" a="1"/>
  <c r="R29" i="9" s="1"/>
  <c r="Q30" i="9" a="1"/>
  <c r="Q30" i="9" s="1"/>
  <c r="R30" i="9" a="1"/>
  <c r="R30" i="9" s="1"/>
  <c r="Q31" i="9" a="1"/>
  <c r="Q31" i="9" s="1"/>
  <c r="R31" i="9" a="1"/>
  <c r="R31" i="9" s="1"/>
  <c r="Q32" i="9" a="1"/>
  <c r="Q32" i="9" s="1"/>
  <c r="R32" i="9" a="1"/>
  <c r="R32" i="9" s="1"/>
  <c r="Q33" i="9" a="1"/>
  <c r="Q33" i="9" s="1"/>
  <c r="R33" i="9" a="1"/>
  <c r="R33" i="9" s="1"/>
  <c r="Q34" i="9" a="1"/>
  <c r="Q34" i="9" s="1"/>
  <c r="R34" i="9" a="1"/>
  <c r="R34" i="9" s="1"/>
  <c r="Q35" i="9" a="1"/>
  <c r="Q35" i="9" s="1"/>
  <c r="R35" i="9" a="1"/>
  <c r="R35" i="9" s="1"/>
  <c r="Q36" i="9" a="1"/>
  <c r="Q36" i="9" s="1"/>
  <c r="R36" i="9" a="1"/>
  <c r="R36" i="9" s="1"/>
  <c r="Q37" i="9" a="1"/>
  <c r="Q37" i="9" s="1"/>
  <c r="R37" i="9" a="1"/>
  <c r="R37" i="9" s="1"/>
  <c r="Q38" i="9" a="1"/>
  <c r="Q38" i="9" s="1"/>
  <c r="R38" i="9" a="1"/>
  <c r="R38" i="9" s="1"/>
  <c r="Q39" i="9" a="1"/>
  <c r="Q39" i="9" s="1"/>
  <c r="R39" i="9" a="1"/>
  <c r="R39" i="9" s="1"/>
  <c r="Q40" i="9" a="1"/>
  <c r="Q40" i="9" s="1"/>
  <c r="R40" i="9" a="1"/>
  <c r="R40" i="9" s="1"/>
  <c r="R2" i="9" a="1"/>
  <c r="R2" i="9" s="1"/>
  <c r="Q2" i="9" a="1"/>
  <c r="Q2" i="9" s="1"/>
  <c r="A9" i="1"/>
  <c r="P30" i="9" l="1" a="1"/>
  <c r="P30" i="9" s="1"/>
  <c r="N7" i="9" a="1"/>
  <c r="N7" i="9" s="1"/>
  <c r="O12" i="9" a="1"/>
  <c r="O12" i="9" s="1"/>
  <c r="P17" i="9" a="1"/>
  <c r="P17" i="9" s="1"/>
  <c r="O9" i="9" a="1"/>
  <c r="O9" i="9" s="1"/>
  <c r="N40" i="9" a="1"/>
  <c r="N40" i="9" s="1"/>
  <c r="O20" i="9" a="1"/>
  <c r="O20" i="9" s="1"/>
  <c r="N25" i="9" a="1"/>
  <c r="N25" i="9" s="1"/>
  <c r="P35" i="9" a="1"/>
  <c r="P35" i="9" s="1"/>
  <c r="O27" i="9" a="1"/>
  <c r="O27" i="9" s="1"/>
  <c r="N19" i="9" a="1"/>
  <c r="N19" i="9" s="1"/>
  <c r="P29" i="9" a="1"/>
  <c r="P29" i="9" s="1"/>
  <c r="O21" i="9" a="1"/>
  <c r="O21" i="9" s="1"/>
  <c r="P38" i="9" a="1"/>
  <c r="P38" i="9" s="1"/>
  <c r="N6" i="9" a="1"/>
  <c r="N6" i="9" s="1"/>
  <c r="N15" i="9" a="1"/>
  <c r="N15" i="9" s="1"/>
  <c r="N3" i="9" a="1"/>
  <c r="N3" i="9" s="1"/>
  <c r="P25" i="9" a="1"/>
  <c r="P25" i="9" s="1"/>
  <c r="O17" i="9" a="1"/>
  <c r="O17" i="9" s="1"/>
  <c r="N11" i="9" a="1"/>
  <c r="N11" i="9" s="1"/>
  <c r="P10" i="9" a="1"/>
  <c r="P10" i="9" s="1"/>
  <c r="P2" i="9" a="1"/>
  <c r="P2" i="9" s="1"/>
  <c r="N33" i="9" a="1"/>
  <c r="N33" i="9" s="1"/>
  <c r="O2" i="9" a="1"/>
  <c r="O2" i="9" s="1"/>
  <c r="P39" i="9" a="1"/>
  <c r="P39" i="9" s="1"/>
  <c r="O25" i="9" a="1"/>
  <c r="O25" i="9" s="1"/>
  <c r="N10" i="9" a="1"/>
  <c r="N10" i="9" s="1"/>
  <c r="P8" i="9" a="1"/>
  <c r="P8" i="9" s="1"/>
  <c r="N18" i="9" a="1"/>
  <c r="N18" i="9" s="1"/>
  <c r="N37" i="9" a="1"/>
  <c r="N37" i="9" s="1"/>
  <c r="O6" i="9" a="1"/>
  <c r="O6" i="9" s="1"/>
  <c r="N12" i="9" a="1"/>
  <c r="N12" i="9" s="1"/>
  <c r="O22" i="9" a="1"/>
  <c r="O22" i="9" s="1"/>
  <c r="O14" i="9" a="1"/>
  <c r="O14" i="9" s="1"/>
  <c r="P7" i="9" a="1"/>
  <c r="P7" i="9" s="1"/>
  <c r="N30" i="9" a="1"/>
  <c r="N30" i="9" s="1"/>
  <c r="P16" i="9" a="1"/>
  <c r="P16" i="9" s="1"/>
  <c r="O8" i="9" a="1"/>
  <c r="O8" i="9" s="1"/>
  <c r="N39" i="9" a="1"/>
  <c r="N39" i="9" s="1"/>
  <c r="N8" i="9" a="1"/>
  <c r="N8" i="9" s="1"/>
  <c r="P12" i="9" a="1"/>
  <c r="P12" i="9" s="1"/>
  <c r="P34" i="9" a="1"/>
  <c r="P34" i="9" s="1"/>
  <c r="O26" i="9" a="1"/>
  <c r="O26" i="9" s="1"/>
  <c r="P3" i="9" a="1"/>
  <c r="P3" i="9" s="1"/>
  <c r="N26" i="9" a="1"/>
  <c r="N26" i="9" s="1"/>
  <c r="P21" i="9" a="1"/>
  <c r="P21" i="9" s="1"/>
  <c r="P37" i="9" a="1"/>
  <c r="P37" i="9" s="1"/>
  <c r="P33" i="9" a="1"/>
  <c r="P33" i="9" s="1"/>
  <c r="O10" i="9" a="1"/>
  <c r="O10" i="9" s="1"/>
  <c r="P4" i="9" a="1"/>
  <c r="P4" i="9" s="1"/>
  <c r="N20" i="9" a="1"/>
  <c r="N20" i="9" s="1"/>
  <c r="N5" i="9" a="1"/>
  <c r="N5" i="9" s="1"/>
  <c r="O30" i="9" a="1"/>
  <c r="O30" i="9" s="1"/>
  <c r="P15" i="9" a="1"/>
  <c r="P15" i="9" s="1"/>
  <c r="O7" i="9" a="1"/>
  <c r="O7" i="9" s="1"/>
  <c r="N38" i="9" a="1"/>
  <c r="N38" i="9" s="1"/>
  <c r="P24" i="9" a="1"/>
  <c r="P24" i="9" s="1"/>
  <c r="O16" i="9" a="1"/>
  <c r="O16" i="9" s="1"/>
  <c r="N16" i="9" a="1"/>
  <c r="N16" i="9" s="1"/>
  <c r="P28" i="9" a="1"/>
  <c r="P28" i="9" s="1"/>
  <c r="O34" i="9" a="1"/>
  <c r="O34" i="9" s="1"/>
  <c r="O28" i="9" a="1"/>
  <c r="O28" i="9" s="1"/>
  <c r="P11" i="9" a="1"/>
  <c r="P11" i="9" s="1"/>
  <c r="O3" i="9" a="1"/>
  <c r="O3" i="9" s="1"/>
  <c r="N34" i="9" a="1"/>
  <c r="N34" i="9" s="1"/>
  <c r="O13" i="9" a="1"/>
  <c r="O13" i="9" s="1"/>
  <c r="O31" i="9" a="1"/>
  <c r="O31" i="9" s="1"/>
  <c r="O29" i="9" a="1"/>
  <c r="O29" i="9" s="1"/>
  <c r="N23" i="9" a="1"/>
  <c r="N23" i="9" s="1"/>
  <c r="N27" i="9" a="1"/>
  <c r="N27" i="9" s="1"/>
  <c r="N2" i="9" a="1"/>
  <c r="N2" i="9" s="1"/>
  <c r="N22" i="9" a="1"/>
  <c r="N22" i="9" s="1"/>
  <c r="N31" i="9" a="1"/>
  <c r="N31" i="9" s="1"/>
  <c r="O33" i="9" a="1"/>
  <c r="O33" i="9" s="1"/>
  <c r="P26" i="9" a="1"/>
  <c r="P26" i="9" s="1"/>
  <c r="P5" i="9" a="1"/>
  <c r="P5" i="9" s="1"/>
  <c r="N28" i="9" a="1"/>
  <c r="N28" i="9" s="1"/>
  <c r="N13" i="9" a="1"/>
  <c r="N13" i="9" s="1"/>
  <c r="P6" i="9" a="1"/>
  <c r="P6" i="9" s="1"/>
  <c r="N21" i="9" a="1"/>
  <c r="N21" i="9" s="1"/>
  <c r="P23" i="9" a="1"/>
  <c r="P23" i="9" s="1"/>
  <c r="O15" i="9" a="1"/>
  <c r="O15" i="9" s="1"/>
  <c r="P32" i="9" a="1"/>
  <c r="P32" i="9" s="1"/>
  <c r="O24" i="9" a="1"/>
  <c r="O24" i="9" s="1"/>
  <c r="P20" i="9" a="1"/>
  <c r="P20" i="9" s="1"/>
  <c r="N24" i="9" a="1"/>
  <c r="N24" i="9" s="1"/>
  <c r="N9" i="9" a="1"/>
  <c r="N9" i="9" s="1"/>
  <c r="N35" i="9" a="1"/>
  <c r="N35" i="9" s="1"/>
  <c r="P19" i="9" a="1"/>
  <c r="P19" i="9" s="1"/>
  <c r="O11" i="9" a="1"/>
  <c r="O11" i="9" s="1"/>
  <c r="P36" i="9" a="1"/>
  <c r="P36" i="9" s="1"/>
  <c r="P22" i="9" a="1"/>
  <c r="P22" i="9" s="1"/>
  <c r="N14" i="9" a="1"/>
  <c r="N14" i="9" s="1"/>
  <c r="P18" i="9" a="1"/>
  <c r="P18" i="9" s="1"/>
  <c r="N4" i="9" a="1"/>
  <c r="N4" i="9" s="1"/>
  <c r="O18" i="9" a="1"/>
  <c r="O18" i="9" s="1"/>
  <c r="P13" i="9" a="1"/>
  <c r="P13" i="9" s="1"/>
  <c r="O5" i="9" a="1"/>
  <c r="O5" i="9" s="1"/>
  <c r="N36" i="9" a="1"/>
  <c r="N36" i="9" s="1"/>
  <c r="N29" i="9" a="1"/>
  <c r="N29" i="9" s="1"/>
  <c r="P14" i="9" a="1"/>
  <c r="P14" i="9" s="1"/>
  <c r="P31" i="9" a="1"/>
  <c r="P31" i="9" s="1"/>
  <c r="O23" i="9" a="1"/>
  <c r="O23" i="9" s="1"/>
  <c r="P40" i="9" a="1"/>
  <c r="P40" i="9" s="1"/>
  <c r="O32" i="9" a="1"/>
  <c r="O32" i="9" s="1"/>
  <c r="P9" i="9" a="1"/>
  <c r="P9" i="9" s="1"/>
  <c r="N32" i="9" a="1"/>
  <c r="N32" i="9" s="1"/>
  <c r="N17" i="9" a="1"/>
  <c r="N17" i="9" s="1"/>
  <c r="P27" i="9" a="1"/>
  <c r="P27" i="9" s="1"/>
  <c r="O19" i="9" a="1"/>
  <c r="O19" i="9" s="1"/>
  <c r="O4" i="9" a="1"/>
  <c r="O4" i="9" s="1"/>
  <c r="S37" i="9" l="1"/>
  <c r="S40" i="9"/>
  <c r="S36" i="9"/>
  <c r="S39" i="9"/>
  <c r="S38" i="9"/>
  <c r="S35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CB4FF2D-1C76-4E88-B631-2490DF5065BF}" keepAlive="1" name="Query - forecast_output" description="Connection to the 'forecast_output' query in the workbook." type="5" refreshedVersion="8" background="1" saveData="1">
    <dbPr connection="Provider=Microsoft.Mashup.OleDb.1;Data Source=$Workbook$;Location=forecast_output;Extended Properties=&quot;&quot;" command="SELECT * FROM [forecast_output]"/>
  </connection>
  <connection id="2" xr16:uid="{32C21155-9502-496E-BD64-16E81A8179C3}" keepAlive="1" name="Query - monthly_kpis_summary" description="Connection to the 'monthly_kpis_summary' query in the workbook." type="5" refreshedVersion="8" background="1" saveData="1">
    <dbPr connection="Provider=Microsoft.Mashup.OleDb.1;Data Source=$Workbook$;Location=monthly_kpis_summary;Extended Properties=&quot;&quot;" command="SELECT * FROM [monthly_kpis_summary]"/>
  </connection>
  <connection id="3" xr16:uid="{5CF897E8-A1CF-4897-BDCC-57FD7D76242F}" keepAlive="1" name="Query - monthly_problem_order_rate" description="Connection to the 'monthly_problem_order_rate' query in the workbook." type="5" refreshedVersion="8" background="1" saveData="1">
    <dbPr connection="Provider=Microsoft.Mashup.OleDb.1;Data Source=$Workbook$;Location=monthly_problem_order_rate;Extended Properties=&quot;&quot;" command="SELECT * FROM [monthly_problem_order_ra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<sst xmlns="http://schemas.openxmlformats.org/spreadsheetml/2006/main" count="1165" uniqueCount="90">
  <si>
    <t>Month</t>
  </si>
  <si>
    <t>Category Name</t>
  </si>
  <si>
    <t>Total_Orders</t>
  </si>
  <si>
    <t>Avg_Lead_Time</t>
  </si>
  <si>
    <t>OTD_Pct</t>
  </si>
  <si>
    <t>Late_Count</t>
  </si>
  <si>
    <t>Late_Delivery_Pct</t>
  </si>
  <si>
    <t>Accessories</t>
  </si>
  <si>
    <t>Baseball &amp; Softball</t>
  </si>
  <si>
    <t>Boxing &amp; MMA</t>
  </si>
  <si>
    <t>Camping &amp; Hiking</t>
  </si>
  <si>
    <t>Cardio Equipment</t>
  </si>
  <si>
    <t>Cleats</t>
  </si>
  <si>
    <t>Electronics</t>
  </si>
  <si>
    <t>Fishing</t>
  </si>
  <si>
    <t>Fitness Accessories</t>
  </si>
  <si>
    <t>Girls' Apparel</t>
  </si>
  <si>
    <t>Golf Apparel</t>
  </si>
  <si>
    <t>Golf Balls</t>
  </si>
  <si>
    <t>Golf Gloves</t>
  </si>
  <si>
    <t>Golf Shoes</t>
  </si>
  <si>
    <t>Hockey</t>
  </si>
  <si>
    <t>Hunting &amp; Shooting</t>
  </si>
  <si>
    <t>Indoor/Outdoor Games</t>
  </si>
  <si>
    <t>Lacrosse</t>
  </si>
  <si>
    <t>Men's Footwear</t>
  </si>
  <si>
    <t>Shop By Sport</t>
  </si>
  <si>
    <t>Tennis &amp; Racquet</t>
  </si>
  <si>
    <t>Trade-In</t>
  </si>
  <si>
    <t>Water Sports</t>
  </si>
  <si>
    <t>Women's Apparel</t>
  </si>
  <si>
    <t>As Seen on  TV!</t>
  </si>
  <si>
    <t>Golf Bags &amp; Carts</t>
  </si>
  <si>
    <t>Kids' Golf Clubs</t>
  </si>
  <si>
    <t>Men's Golf Clubs</t>
  </si>
  <si>
    <t>Soccer</t>
  </si>
  <si>
    <t>Strength Training</t>
  </si>
  <si>
    <t>Women's Golf Clubs</t>
  </si>
  <si>
    <t>Basketball</t>
  </si>
  <si>
    <t xml:space="preserve">Baby </t>
  </si>
  <si>
    <t xml:space="preserve">Books </t>
  </si>
  <si>
    <t xml:space="preserve">CDs </t>
  </si>
  <si>
    <t xml:space="preserve">Cameras </t>
  </si>
  <si>
    <t>Children's Clothing</t>
  </si>
  <si>
    <t>Computers</t>
  </si>
  <si>
    <t>Consumer Electronics</t>
  </si>
  <si>
    <t>Crafts</t>
  </si>
  <si>
    <t>DVDs</t>
  </si>
  <si>
    <t>Garden</t>
  </si>
  <si>
    <t>Health and Beauty</t>
  </si>
  <si>
    <t>Men's Clothing</t>
  </si>
  <si>
    <t>Music</t>
  </si>
  <si>
    <t>Pet Supplies</t>
  </si>
  <si>
    <t>Sporting Goods</t>
  </si>
  <si>
    <t>Toys</t>
  </si>
  <si>
    <t>Video Games</t>
  </si>
  <si>
    <t>Women's Clothing</t>
  </si>
  <si>
    <t>Supply Chain KPI Dashboard</t>
  </si>
  <si>
    <t>Process Analytics — SCM | Data: Jan 2015 to Sep 2017</t>
  </si>
  <si>
    <t>Total Orders</t>
  </si>
  <si>
    <t>Total Late Orders</t>
  </si>
  <si>
    <t xml:space="preserve">Avg Lead Time </t>
  </si>
  <si>
    <t>Avg Late Delivery%</t>
  </si>
  <si>
    <t>Best Month OTD%</t>
  </si>
  <si>
    <t>Avg OTD%</t>
  </si>
  <si>
    <t>Row Labels</t>
  </si>
  <si>
    <t>Grand Total</t>
  </si>
  <si>
    <t>2015</t>
  </si>
  <si>
    <t>2016</t>
  </si>
  <si>
    <t>2017</t>
  </si>
  <si>
    <t>Column Labels</t>
  </si>
  <si>
    <t>Total Sum of Total_Orders</t>
  </si>
  <si>
    <t>Sum of Total_Orders</t>
  </si>
  <si>
    <t>Total Average of OTD_Pct</t>
  </si>
  <si>
    <t>Average of OTD_Pct</t>
  </si>
  <si>
    <t>Total Average of Avg_Lead_Time</t>
  </si>
  <si>
    <t>Average of Avg_Lead_Time</t>
  </si>
  <si>
    <t>Category</t>
  </si>
  <si>
    <t>Type</t>
  </si>
  <si>
    <t>Value</t>
  </si>
  <si>
    <t>Lower_CI</t>
  </si>
  <si>
    <t>Upper_CI</t>
  </si>
  <si>
    <t>Actual</t>
  </si>
  <si>
    <t>Forecast</t>
  </si>
  <si>
    <t>Forecast Accuracy (MAPE)</t>
  </si>
  <si>
    <t>CI_Range</t>
  </si>
  <si>
    <t>Problem_Order_Pct</t>
  </si>
  <si>
    <t>Avg Problem Order Rate%</t>
  </si>
  <si>
    <t>ALL</t>
  </si>
  <si>
    <t>Filter Dashboard by Category: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</si>
</sst>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/yyyy"/>
    <numFmt numFmtId="165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4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4" fontId="0" fillId="0" borderId="0" xfId="0" applyNumberFormat="1"/>
    <xf numFmtId="0" fontId="6" fillId="0" borderId="0" xfId="0" applyFont="1"/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165" fontId="3" fillId="0" borderId="1" xfId="1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165" fontId="3" fillId="0" borderId="2" xfId="0" applyNumberFormat="1" applyFont="1" applyBorder="1" applyAlignment="1">
      <alignment horizontal="center"/>
    </xf>
    <xf numFmtId="165" fontId="3" fillId="0" borderId="3" xfId="0" applyNumberFormat="1" applyFont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NumberFormat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10" fontId="7" fillId="0" borderId="1" xfId="0" applyNumberFormat="1" applyFont="1" applyBorder="1" applyAlignment="1">
      <alignment horizontal="center"/>
    </xf>
    <xf numFmtId="14" fontId="0" fillId="0" borderId="0" xfId="0" applyNumberFormat="1" applyAlignment="1">
      <alignment horizontal="left"/>
    </xf>
    <xf numFmtId="0" fontId="10" fillId="0" borderId="0" xfId="0" applyFont="1"/>
    <xf numFmtId="164" fontId="0" fillId="0" borderId="0" xfId="0" applyNumberFormat="1" applyFill="1"/>
    <xf numFmtId="0" fontId="0" fillId="0" borderId="0" xfId="0" applyFill="1"/>
    <xf numFmtId="164" fontId="0" fillId="3" borderId="0" xfId="0" applyNumberFormat="1" applyFill="1"/>
    <xf numFmtId="0" fontId="0" fillId="3" borderId="0" xfId="0" applyFill="1"/>
    <xf numFmtId="164" fontId="0" fillId="4" borderId="0" xfId="0" applyNumberFormat="1" applyFill="1"/>
    <xf numFmtId="0" fontId="0" fillId="4" borderId="0" xfId="0" applyFill="1"/>
  </cellXfs>
  <cellStyles count="2">
    <cellStyle name="Normal" xfId="0" builtinId="0"/>
    <cellStyle name="Percent" xfId="1" builtinId="5"/>
  </cellStyles>
  <dxfs count="1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mmm/yyyy"/>
      <fill>
        <patternFill patternType="none">
          <fgColor indexed="64"/>
          <bgColor indexed="65"/>
        </patternFill>
      </fill>
    </dxf>
    <dxf>
      <numFmt numFmtId="19" formatCode="dd/mm/yyyy"/>
    </dxf>
    <dxf>
      <numFmt numFmtId="19" formatCode="dd/mm/yyyy"/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[SCM_KPI_Dashboard.xlsm]Pivot Table 1!PivotTable2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On-Time Delivery % Trend</a:t>
            </a:r>
          </a:p>
        </c:rich>
      </c:tx>
      <c:layout>
        <c:manualLayout>
          <c:xMode val="edge"/>
          <c:yMode val="edge"/>
          <c:x val="0.34242019974576005"/>
          <c:y val="8.0109392877197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1'!$B$1:$B$2</c:f>
              <c:strCache>
                <c:ptCount val="1"/>
                <c:pt idx="0">
                  <c:v>Cleats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 1'!$A$3:$A$37</c:f>
              <c:strCache>
                <c:ptCount val="34"/>
                <c:pt idx="0">
                  <c:v>01-01-2015</c:v>
                </c:pt>
                <c:pt idx="1">
                  <c:v>01-02-2015</c:v>
                </c:pt>
                <c:pt idx="2">
                  <c:v>01-03-2015</c:v>
                </c:pt>
                <c:pt idx="3">
                  <c:v>01-04-2015</c:v>
                </c:pt>
                <c:pt idx="4">
                  <c:v>01-05-2015</c:v>
                </c:pt>
                <c:pt idx="5">
                  <c:v>01-06-2015</c:v>
                </c:pt>
                <c:pt idx="6">
                  <c:v>01-07-2015</c:v>
                </c:pt>
                <c:pt idx="7">
                  <c:v>01-08-2015</c:v>
                </c:pt>
                <c:pt idx="8">
                  <c:v>01-09-2015</c:v>
                </c:pt>
                <c:pt idx="9">
                  <c:v>01-10-2015</c:v>
                </c:pt>
                <c:pt idx="10">
                  <c:v>01-11-2015</c:v>
                </c:pt>
                <c:pt idx="11">
                  <c:v>01-12-2015</c:v>
                </c:pt>
                <c:pt idx="12">
                  <c:v>01-01-2016</c:v>
                </c:pt>
                <c:pt idx="13">
                  <c:v>01-02-2016</c:v>
                </c:pt>
                <c:pt idx="14">
                  <c:v>01-03-2016</c:v>
                </c:pt>
                <c:pt idx="15">
                  <c:v>01-04-2016</c:v>
                </c:pt>
                <c:pt idx="16">
                  <c:v>01-05-2016</c:v>
                </c:pt>
                <c:pt idx="17">
                  <c:v>01-06-2016</c:v>
                </c:pt>
                <c:pt idx="18">
                  <c:v>01-07-2016</c:v>
                </c:pt>
                <c:pt idx="19">
                  <c:v>01-08-2016</c:v>
                </c:pt>
                <c:pt idx="20">
                  <c:v>01-09-2016</c:v>
                </c:pt>
                <c:pt idx="21">
                  <c:v>01-10-2016</c:v>
                </c:pt>
                <c:pt idx="22">
                  <c:v>01-11-2016</c:v>
                </c:pt>
                <c:pt idx="23">
                  <c:v>01-12-2016</c:v>
                </c:pt>
                <c:pt idx="24">
                  <c:v>01-01-2017</c:v>
                </c:pt>
                <c:pt idx="25">
                  <c:v>01-02-2017</c:v>
                </c:pt>
                <c:pt idx="26">
                  <c:v>01-03-2017</c:v>
                </c:pt>
                <c:pt idx="27">
                  <c:v>01-04-2017</c:v>
                </c:pt>
                <c:pt idx="28">
                  <c:v>01-05-2017</c:v>
                </c:pt>
                <c:pt idx="29">
                  <c:v>01-06-2017</c:v>
                </c:pt>
                <c:pt idx="30">
                  <c:v>01-07-2017</c:v>
                </c:pt>
                <c:pt idx="31">
                  <c:v>01-08-2017</c:v>
                </c:pt>
                <c:pt idx="32">
                  <c:v>01-09-2017</c:v>
                </c:pt>
                <c:pt idx="33">
                  <c:v>01-10-2017</c:v>
                </c:pt>
              </c:strCache>
            </c:strRef>
          </c:cat>
          <c:val>
            <c:numRef>
              <c:f>'Pivot Table 1'!$B$3:$B$37</c:f>
              <c:numCache>
                <c:formatCode>General</c:formatCode>
                <c:ptCount val="34"/>
                <c:pt idx="0">
                  <c:v>45.885286783042396</c:v>
                </c:pt>
                <c:pt idx="1">
                  <c:v>45.909090909090914</c:v>
                </c:pt>
                <c:pt idx="2">
                  <c:v>43.725743855109961</c:v>
                </c:pt>
                <c:pt idx="3">
                  <c:v>48.484848484848484</c:v>
                </c:pt>
                <c:pt idx="4">
                  <c:v>46.533333333333331</c:v>
                </c:pt>
                <c:pt idx="5">
                  <c:v>46.260387811634352</c:v>
                </c:pt>
                <c:pt idx="6">
                  <c:v>46.390374331550802</c:v>
                </c:pt>
                <c:pt idx="7">
                  <c:v>44.694132334581774</c:v>
                </c:pt>
                <c:pt idx="8">
                  <c:v>42.561983471074385</c:v>
                </c:pt>
                <c:pt idx="9">
                  <c:v>46.038251366120221</c:v>
                </c:pt>
                <c:pt idx="10">
                  <c:v>46.1118690313779</c:v>
                </c:pt>
                <c:pt idx="11">
                  <c:v>42.991913746630729</c:v>
                </c:pt>
                <c:pt idx="12">
                  <c:v>44.385026737967912</c:v>
                </c:pt>
                <c:pt idx="13">
                  <c:v>44.658753709198812</c:v>
                </c:pt>
                <c:pt idx="14">
                  <c:v>42.105263157894733</c:v>
                </c:pt>
                <c:pt idx="15">
                  <c:v>45.87280108254398</c:v>
                </c:pt>
                <c:pt idx="16">
                  <c:v>41.895261845386536</c:v>
                </c:pt>
                <c:pt idx="17">
                  <c:v>44.230769230769226</c:v>
                </c:pt>
                <c:pt idx="18">
                  <c:v>47.664835164835168</c:v>
                </c:pt>
                <c:pt idx="19">
                  <c:v>43.363994743758212</c:v>
                </c:pt>
                <c:pt idx="20">
                  <c:v>45.165562913907287</c:v>
                </c:pt>
                <c:pt idx="21">
                  <c:v>45.019920318725099</c:v>
                </c:pt>
                <c:pt idx="22">
                  <c:v>44.91180461329715</c:v>
                </c:pt>
                <c:pt idx="23">
                  <c:v>45.136186770428019</c:v>
                </c:pt>
                <c:pt idx="24">
                  <c:v>47.6882430647292</c:v>
                </c:pt>
                <c:pt idx="25">
                  <c:v>46.695402298850574</c:v>
                </c:pt>
                <c:pt idx="26">
                  <c:v>46.825396825396822</c:v>
                </c:pt>
                <c:pt idx="27">
                  <c:v>45.625841184387617</c:v>
                </c:pt>
                <c:pt idx="28">
                  <c:v>46.657571623465209</c:v>
                </c:pt>
                <c:pt idx="29">
                  <c:v>43.49157733537519</c:v>
                </c:pt>
                <c:pt idx="30">
                  <c:v>44.444444444444443</c:v>
                </c:pt>
                <c:pt idx="31">
                  <c:v>43.50132625994695</c:v>
                </c:pt>
                <c:pt idx="32">
                  <c:v>48.082191780821923</c:v>
                </c:pt>
                <c:pt idx="33">
                  <c:v>59.45945945945946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FB-49B3-A431-E41F48310810}"/>
            </c:ext>
          </c:extLst>
        </c:ser>
        <c:ser>
          <c:idx val="1"/>
          <c:order val="1"/>
          <c:tx>
            <c:strRef>
              <c:f>'Pivot Table 1'!$C$1:$C$2</c:f>
              <c:strCache>
                <c:ptCount val="1"/>
                <c:pt idx="0">
                  <c:v>Men's Footwear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 1'!$A$3:$A$37</c:f>
              <c:strCache>
                <c:ptCount val="34"/>
                <c:pt idx="0">
                  <c:v>01-01-2015</c:v>
                </c:pt>
                <c:pt idx="1">
                  <c:v>01-02-2015</c:v>
                </c:pt>
                <c:pt idx="2">
                  <c:v>01-03-2015</c:v>
                </c:pt>
                <c:pt idx="3">
                  <c:v>01-04-2015</c:v>
                </c:pt>
                <c:pt idx="4">
                  <c:v>01-05-2015</c:v>
                </c:pt>
                <c:pt idx="5">
                  <c:v>01-06-2015</c:v>
                </c:pt>
                <c:pt idx="6">
                  <c:v>01-07-2015</c:v>
                </c:pt>
                <c:pt idx="7">
                  <c:v>01-08-2015</c:v>
                </c:pt>
                <c:pt idx="8">
                  <c:v>01-09-2015</c:v>
                </c:pt>
                <c:pt idx="9">
                  <c:v>01-10-2015</c:v>
                </c:pt>
                <c:pt idx="10">
                  <c:v>01-11-2015</c:v>
                </c:pt>
                <c:pt idx="11">
                  <c:v>01-12-2015</c:v>
                </c:pt>
                <c:pt idx="12">
                  <c:v>01-01-2016</c:v>
                </c:pt>
                <c:pt idx="13">
                  <c:v>01-02-2016</c:v>
                </c:pt>
                <c:pt idx="14">
                  <c:v>01-03-2016</c:v>
                </c:pt>
                <c:pt idx="15">
                  <c:v>01-04-2016</c:v>
                </c:pt>
                <c:pt idx="16">
                  <c:v>01-05-2016</c:v>
                </c:pt>
                <c:pt idx="17">
                  <c:v>01-06-2016</c:v>
                </c:pt>
                <c:pt idx="18">
                  <c:v>01-07-2016</c:v>
                </c:pt>
                <c:pt idx="19">
                  <c:v>01-08-2016</c:v>
                </c:pt>
                <c:pt idx="20">
                  <c:v>01-09-2016</c:v>
                </c:pt>
                <c:pt idx="21">
                  <c:v>01-10-2016</c:v>
                </c:pt>
                <c:pt idx="22">
                  <c:v>01-11-2016</c:v>
                </c:pt>
                <c:pt idx="23">
                  <c:v>01-12-2016</c:v>
                </c:pt>
                <c:pt idx="24">
                  <c:v>01-01-2017</c:v>
                </c:pt>
                <c:pt idx="25">
                  <c:v>01-02-2017</c:v>
                </c:pt>
                <c:pt idx="26">
                  <c:v>01-03-2017</c:v>
                </c:pt>
                <c:pt idx="27">
                  <c:v>01-04-2017</c:v>
                </c:pt>
                <c:pt idx="28">
                  <c:v>01-05-2017</c:v>
                </c:pt>
                <c:pt idx="29">
                  <c:v>01-06-2017</c:v>
                </c:pt>
                <c:pt idx="30">
                  <c:v>01-07-2017</c:v>
                </c:pt>
                <c:pt idx="31">
                  <c:v>01-08-2017</c:v>
                </c:pt>
                <c:pt idx="32">
                  <c:v>01-09-2017</c:v>
                </c:pt>
                <c:pt idx="33">
                  <c:v>01-10-2017</c:v>
                </c:pt>
              </c:strCache>
            </c:strRef>
          </c:cat>
          <c:val>
            <c:numRef>
              <c:f>'Pivot Table 1'!$C$3:$C$37</c:f>
              <c:numCache>
                <c:formatCode>General</c:formatCode>
                <c:ptCount val="34"/>
                <c:pt idx="0">
                  <c:v>51.935483870967744</c:v>
                </c:pt>
                <c:pt idx="1">
                  <c:v>43.613707165109034</c:v>
                </c:pt>
                <c:pt idx="2">
                  <c:v>44.983818770226534</c:v>
                </c:pt>
                <c:pt idx="3">
                  <c:v>45.788667687595712</c:v>
                </c:pt>
                <c:pt idx="4">
                  <c:v>46.273291925465834</c:v>
                </c:pt>
                <c:pt idx="5">
                  <c:v>44.74474474474475</c:v>
                </c:pt>
                <c:pt idx="6">
                  <c:v>44.728915662650607</c:v>
                </c:pt>
                <c:pt idx="7">
                  <c:v>43.02325581395349</c:v>
                </c:pt>
                <c:pt idx="8">
                  <c:v>41.150442477876105</c:v>
                </c:pt>
                <c:pt idx="9">
                  <c:v>47.119645494830131</c:v>
                </c:pt>
                <c:pt idx="10">
                  <c:v>47.049924357034797</c:v>
                </c:pt>
                <c:pt idx="11">
                  <c:v>44.382801664355064</c:v>
                </c:pt>
                <c:pt idx="12">
                  <c:v>48.755490483162518</c:v>
                </c:pt>
                <c:pt idx="13">
                  <c:v>45.826771653543311</c:v>
                </c:pt>
                <c:pt idx="14">
                  <c:v>46.370370370370374</c:v>
                </c:pt>
                <c:pt idx="15">
                  <c:v>45.095168374816986</c:v>
                </c:pt>
                <c:pt idx="16">
                  <c:v>44.165435745937963</c:v>
                </c:pt>
                <c:pt idx="17">
                  <c:v>42.261904761904759</c:v>
                </c:pt>
                <c:pt idx="18">
                  <c:v>45.705967976710333</c:v>
                </c:pt>
                <c:pt idx="19">
                  <c:v>47.448275862068968</c:v>
                </c:pt>
                <c:pt idx="20">
                  <c:v>44.444444444444443</c:v>
                </c:pt>
                <c:pt idx="21">
                  <c:v>44.137931034482762</c:v>
                </c:pt>
                <c:pt idx="22">
                  <c:v>44.969512195121951</c:v>
                </c:pt>
                <c:pt idx="23">
                  <c:v>43.586005830903787</c:v>
                </c:pt>
                <c:pt idx="24">
                  <c:v>49.62292609351433</c:v>
                </c:pt>
                <c:pt idx="25">
                  <c:v>46.804835924006909</c:v>
                </c:pt>
                <c:pt idx="26">
                  <c:v>46.418732782369148</c:v>
                </c:pt>
                <c:pt idx="27">
                  <c:v>46.385542168674696</c:v>
                </c:pt>
                <c:pt idx="28">
                  <c:v>44.054054054054056</c:v>
                </c:pt>
                <c:pt idx="29">
                  <c:v>48.592592592592595</c:v>
                </c:pt>
                <c:pt idx="30">
                  <c:v>43.422913719943423</c:v>
                </c:pt>
                <c:pt idx="31">
                  <c:v>45.427728613569322</c:v>
                </c:pt>
                <c:pt idx="32">
                  <c:v>46.676737160120844</c:v>
                </c:pt>
                <c:pt idx="33">
                  <c:v>56.25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FB-49B3-A431-E41F48310810}"/>
            </c:ext>
          </c:extLst>
        </c:ser>
        <c:ser>
          <c:idx val="2"/>
          <c:order val="2"/>
          <c:tx>
            <c:strRef>
              <c:f>'Pivot Table 1'!$D$1:$D$2</c:f>
              <c:strCache>
                <c:ptCount val="1"/>
                <c:pt idx="0">
                  <c:v>Women's Apparel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'Pivot Table 1'!$A$3:$A$37</c:f>
              <c:strCache>
                <c:ptCount val="34"/>
                <c:pt idx="0">
                  <c:v>01-01-2015</c:v>
                </c:pt>
                <c:pt idx="1">
                  <c:v>01-02-2015</c:v>
                </c:pt>
                <c:pt idx="2">
                  <c:v>01-03-2015</c:v>
                </c:pt>
                <c:pt idx="3">
                  <c:v>01-04-2015</c:v>
                </c:pt>
                <c:pt idx="4">
                  <c:v>01-05-2015</c:v>
                </c:pt>
                <c:pt idx="5">
                  <c:v>01-06-2015</c:v>
                </c:pt>
                <c:pt idx="6">
                  <c:v>01-07-2015</c:v>
                </c:pt>
                <c:pt idx="7">
                  <c:v>01-08-2015</c:v>
                </c:pt>
                <c:pt idx="8">
                  <c:v>01-09-2015</c:v>
                </c:pt>
                <c:pt idx="9">
                  <c:v>01-10-2015</c:v>
                </c:pt>
                <c:pt idx="10">
                  <c:v>01-11-2015</c:v>
                </c:pt>
                <c:pt idx="11">
                  <c:v>01-12-2015</c:v>
                </c:pt>
                <c:pt idx="12">
                  <c:v>01-01-2016</c:v>
                </c:pt>
                <c:pt idx="13">
                  <c:v>01-02-2016</c:v>
                </c:pt>
                <c:pt idx="14">
                  <c:v>01-03-2016</c:v>
                </c:pt>
                <c:pt idx="15">
                  <c:v>01-04-2016</c:v>
                </c:pt>
                <c:pt idx="16">
                  <c:v>01-05-2016</c:v>
                </c:pt>
                <c:pt idx="17">
                  <c:v>01-06-2016</c:v>
                </c:pt>
                <c:pt idx="18">
                  <c:v>01-07-2016</c:v>
                </c:pt>
                <c:pt idx="19">
                  <c:v>01-08-2016</c:v>
                </c:pt>
                <c:pt idx="20">
                  <c:v>01-09-2016</c:v>
                </c:pt>
                <c:pt idx="21">
                  <c:v>01-10-2016</c:v>
                </c:pt>
                <c:pt idx="22">
                  <c:v>01-11-2016</c:v>
                </c:pt>
                <c:pt idx="23">
                  <c:v>01-12-2016</c:v>
                </c:pt>
                <c:pt idx="24">
                  <c:v>01-01-2017</c:v>
                </c:pt>
                <c:pt idx="25">
                  <c:v>01-02-2017</c:v>
                </c:pt>
                <c:pt idx="26">
                  <c:v>01-03-2017</c:v>
                </c:pt>
                <c:pt idx="27">
                  <c:v>01-04-2017</c:v>
                </c:pt>
                <c:pt idx="28">
                  <c:v>01-05-2017</c:v>
                </c:pt>
                <c:pt idx="29">
                  <c:v>01-06-2017</c:v>
                </c:pt>
                <c:pt idx="30">
                  <c:v>01-07-2017</c:v>
                </c:pt>
                <c:pt idx="31">
                  <c:v>01-08-2017</c:v>
                </c:pt>
                <c:pt idx="32">
                  <c:v>01-09-2017</c:v>
                </c:pt>
                <c:pt idx="33">
                  <c:v>01-10-2017</c:v>
                </c:pt>
              </c:strCache>
            </c:strRef>
          </c:cat>
          <c:val>
            <c:numRef>
              <c:f>'Pivot Table 1'!$D$3:$D$37</c:f>
              <c:numCache>
                <c:formatCode>General</c:formatCode>
                <c:ptCount val="34"/>
                <c:pt idx="0">
                  <c:v>45.933014354066984</c:v>
                </c:pt>
                <c:pt idx="1">
                  <c:v>47.610921501706486</c:v>
                </c:pt>
                <c:pt idx="2">
                  <c:v>44.060150375939848</c:v>
                </c:pt>
                <c:pt idx="3">
                  <c:v>46.374622356495472</c:v>
                </c:pt>
                <c:pt idx="4">
                  <c:v>42.372881355932201</c:v>
                </c:pt>
                <c:pt idx="5">
                  <c:v>46.192893401015226</c:v>
                </c:pt>
                <c:pt idx="6">
                  <c:v>46.704871060171918</c:v>
                </c:pt>
                <c:pt idx="7">
                  <c:v>44.796380090497742</c:v>
                </c:pt>
                <c:pt idx="8">
                  <c:v>46.214511041009466</c:v>
                </c:pt>
                <c:pt idx="9">
                  <c:v>45.176110260336905</c:v>
                </c:pt>
                <c:pt idx="10">
                  <c:v>49.656357388316152</c:v>
                </c:pt>
                <c:pt idx="11">
                  <c:v>44.006568144499184</c:v>
                </c:pt>
                <c:pt idx="12">
                  <c:v>43.839541547277939</c:v>
                </c:pt>
                <c:pt idx="13">
                  <c:v>43.739279588336196</c:v>
                </c:pt>
                <c:pt idx="14">
                  <c:v>44.732576985413289</c:v>
                </c:pt>
                <c:pt idx="15">
                  <c:v>44.371941272430668</c:v>
                </c:pt>
                <c:pt idx="16">
                  <c:v>42.378048780487802</c:v>
                </c:pt>
                <c:pt idx="17">
                  <c:v>41.627543035993739</c:v>
                </c:pt>
                <c:pt idx="18">
                  <c:v>49.542682926829265</c:v>
                </c:pt>
                <c:pt idx="19">
                  <c:v>45.705967976710333</c:v>
                </c:pt>
                <c:pt idx="20">
                  <c:v>46.29032258064516</c:v>
                </c:pt>
                <c:pt idx="21">
                  <c:v>39.274924471299094</c:v>
                </c:pt>
                <c:pt idx="22">
                  <c:v>50.558213716108455</c:v>
                </c:pt>
                <c:pt idx="23">
                  <c:v>43.106180665610147</c:v>
                </c:pt>
                <c:pt idx="24">
                  <c:v>48.929663608562691</c:v>
                </c:pt>
                <c:pt idx="25">
                  <c:v>46.794871794871796</c:v>
                </c:pt>
                <c:pt idx="26">
                  <c:v>47.63358778625954</c:v>
                </c:pt>
                <c:pt idx="27">
                  <c:v>44.182124789207421</c:v>
                </c:pt>
                <c:pt idx="28">
                  <c:v>46.191247974068069</c:v>
                </c:pt>
                <c:pt idx="29">
                  <c:v>45.382165605095544</c:v>
                </c:pt>
                <c:pt idx="30">
                  <c:v>47.702060221870049</c:v>
                </c:pt>
                <c:pt idx="31">
                  <c:v>41.704718417047182</c:v>
                </c:pt>
                <c:pt idx="32">
                  <c:v>45.709828393135723</c:v>
                </c:pt>
                <c:pt idx="33">
                  <c:v>51.851851851851848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FB-49B3-A431-E41F48310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5781216"/>
        <c:axId val="1515781696"/>
      </c:lineChart>
      <c:catAx>
        <c:axId val="151578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81696"/>
        <c:crosses val="autoZero"/>
        <c:auto val="1"/>
        <c:lblAlgn val="ctr"/>
        <c:lblOffset val="100"/>
        <c:noMultiLvlLbl val="0"/>
      </c:catAx>
      <c:valAx>
        <c:axId val="151578169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8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[SCM_KPI_Dashboard.xlsm]Pivot Table 2!PivotTable3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Order Volume by Category</a:t>
            </a:r>
          </a:p>
        </c:rich>
      </c:tx>
      <c:layout>
        <c:manualLayout>
          <c:xMode val="edge"/>
          <c:yMode val="edge"/>
          <c:x val="0.34841639482867848"/>
          <c:y val="6.6320156540696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 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 2'!$A$4:$A$7</c:f>
              <c:strCache>
                <c:ptCount val="3"/>
                <c:pt idx="0">
                  <c:v>Cleats</c:v>
                </c:pt>
                <c:pt idx="1">
                  <c:v>Men's Footwear</c:v>
                </c:pt>
                <c:pt idx="2">
                  <c:v>Women's Apparel</c:v>
                </c:pt>
              </c:strCache>
            </c:strRef>
          </c:cat>
          <c:val>
            <c:numRef>
              <c:f>'Pivot Table 2'!$B$4:$B$7</c:f>
              <c:numCache>
                <c:formatCode>General</c:formatCode>
                <c:ptCount val="3"/>
                <c:pt idx="0">
                  <c:v>24551</c:v>
                </c:pt>
                <c:pt idx="1">
                  <c:v>22246</c:v>
                </c:pt>
                <c:pt idx="2">
                  <c:v>21035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0C-458C-BB7D-1D316F7BE8B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74965776"/>
        <c:axId val="274966256"/>
      </c:barChart>
      <c:catAx>
        <c:axId val="274965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66256"/>
        <c:crosses val="autoZero"/>
        <c:auto val="1"/>
        <c:lblAlgn val="ctr"/>
        <c:lblOffset val="100"/>
        <c:noMultiLvlLbl val="0"/>
      </c:catAx>
      <c:valAx>
        <c:axId val="27496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6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[SCM_KPI_Dashboard.xlsm]Pivot Table 3!PivotTable4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Average Lead Time by Category</a:t>
            </a:r>
          </a:p>
        </c:rich>
      </c:tx>
      <c:layout>
        <c:manualLayout>
          <c:xMode val="edge"/>
          <c:yMode val="edge"/>
          <c:x val="0.1786752884954193"/>
          <c:y val="4.60745064676634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3'!$A$4:$A$7</c:f>
              <c:strCache>
                <c:ptCount val="3"/>
                <c:pt idx="0">
                  <c:v>Cleats</c:v>
                </c:pt>
                <c:pt idx="1">
                  <c:v>Men's Footwear</c:v>
                </c:pt>
                <c:pt idx="2">
                  <c:v>Women's Apparel</c:v>
                </c:pt>
              </c:strCache>
            </c:strRef>
          </c:cat>
          <c:val>
            <c:numRef>
              <c:f>'Pivot Table 3'!$B$4:$B$7</c:f>
              <c:numCache>
                <c:formatCode>General</c:formatCode>
                <c:ptCount val="3"/>
                <c:pt idx="0">
                  <c:v>3.4875446489608546</c:v>
                </c:pt>
                <c:pt idx="1">
                  <c:v>3.4779198476803335</c:v>
                </c:pt>
                <c:pt idx="2">
                  <c:v>3.4605548342362464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F-4F3A-BD25-45356AFCD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970752"/>
        <c:axId val="1522972672"/>
      </c:barChart>
      <c:catAx>
        <c:axId val="152297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972672"/>
        <c:crosses val="autoZero"/>
        <c:auto val="1"/>
        <c:lblAlgn val="ctr"/>
        <c:lblOffset val="100"/>
        <c:noMultiLvlLbl val="0"/>
      </c:catAx>
      <c:valAx>
        <c:axId val="15229726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97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Forecast!$M$1</c:f>
          <c:strCache>
            <c:ptCount val="1"/>
            <c:pt idx="0">
              <c:v>Cleats</c:v>
            </c:pt>
          </c:strCache>
        </c:strRef>
      </c:tx>
      <c:layout>
        <c:manualLayout>
          <c:xMode val="edge"/>
          <c:yMode val="edge"/>
          <c:x val="0.4377344778677757"/>
          <c:y val="2.7777214491683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Forecast!$O$1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Forecast!$N$2:$N$119</c:f>
              <c:numCache>
                <c:formatCode>m/d/yyyy</c:formatCode>
                <c:ptCount val="118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  <c:pt idx="36">
                  <c:v>43101</c:v>
                </c:pt>
                <c:pt idx="37">
                  <c:v>43132</c:v>
                </c:pt>
                <c:pt idx="38">
                  <c:v>43160</c:v>
                </c:pt>
              </c:numCache>
            </c:numRef>
          </c:cat>
          <c:val>
            <c:numRef>
              <c:f>Forecast!$O$2:$O$119</c:f>
              <c:numCache>
                <c:formatCode>General</c:formatCode>
                <c:ptCount val="118"/>
                <c:pt idx="0">
                  <c:v>2390</c:v>
                </c:pt>
                <c:pt idx="1">
                  <c:v>2005</c:v>
                </c:pt>
                <c:pt idx="2">
                  <c:v>2355</c:v>
                </c:pt>
                <c:pt idx="3">
                  <c:v>2187</c:v>
                </c:pt>
                <c:pt idx="4">
                  <c:v>2220</c:v>
                </c:pt>
                <c:pt idx="5">
                  <c:v>2142</c:v>
                </c:pt>
                <c:pt idx="6">
                  <c:v>2274</c:v>
                </c:pt>
                <c:pt idx="7">
                  <c:v>2411</c:v>
                </c:pt>
                <c:pt idx="8">
                  <c:v>2177</c:v>
                </c:pt>
                <c:pt idx="9">
                  <c:v>2171</c:v>
                </c:pt>
                <c:pt idx="10">
                  <c:v>2205</c:v>
                </c:pt>
                <c:pt idx="11">
                  <c:v>2218</c:v>
                </c:pt>
                <c:pt idx="12">
                  <c:v>2188</c:v>
                </c:pt>
                <c:pt idx="13">
                  <c:v>2047</c:v>
                </c:pt>
                <c:pt idx="14">
                  <c:v>2401</c:v>
                </c:pt>
                <c:pt idx="15">
                  <c:v>2225</c:v>
                </c:pt>
                <c:pt idx="16">
                  <c:v>2432</c:v>
                </c:pt>
                <c:pt idx="17">
                  <c:v>2181</c:v>
                </c:pt>
                <c:pt idx="18">
                  <c:v>2228</c:v>
                </c:pt>
                <c:pt idx="19">
                  <c:v>2311</c:v>
                </c:pt>
                <c:pt idx="20">
                  <c:v>2224</c:v>
                </c:pt>
                <c:pt idx="21">
                  <c:v>2278</c:v>
                </c:pt>
                <c:pt idx="22">
                  <c:v>2260</c:v>
                </c:pt>
                <c:pt idx="23">
                  <c:v>2361</c:v>
                </c:pt>
                <c:pt idx="24">
                  <c:v>2270</c:v>
                </c:pt>
                <c:pt idx="25">
                  <c:v>2136</c:v>
                </c:pt>
                <c:pt idx="26">
                  <c:v>2215</c:v>
                </c:pt>
                <c:pt idx="27">
                  <c:v>2224</c:v>
                </c:pt>
                <c:pt idx="28">
                  <c:v>2218</c:v>
                </c:pt>
                <c:pt idx="29">
                  <c:v>1934</c:v>
                </c:pt>
                <c:pt idx="30">
                  <c:v>2305</c:v>
                </c:pt>
                <c:pt idx="31">
                  <c:v>2313</c:v>
                </c:pt>
                <c:pt idx="32">
                  <c:v>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7-49F3-9204-02B0A444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6460111"/>
        <c:axId val="1066461551"/>
      </c:barChart>
      <c:lineChart>
        <c:grouping val="standard"/>
        <c:varyColors val="0"/>
        <c:ser>
          <c:idx val="1"/>
          <c:order val="1"/>
          <c:tx>
            <c:strRef>
              <c:f>Forecast!$P$1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0"/>
            <c:plus>
              <c:numRef>
                <c:f>Forecast!$S$35:$S$40</c:f>
                <c:numCache>
                  <c:formatCode>General</c:formatCode>
                  <c:ptCount val="6"/>
                  <c:pt idx="0">
                    <c:v>425</c:v>
                  </c:pt>
                  <c:pt idx="1">
                    <c:v>440</c:v>
                  </c:pt>
                  <c:pt idx="2">
                    <c:v>442</c:v>
                  </c:pt>
                  <c:pt idx="3">
                    <c:v>442</c:v>
                  </c:pt>
                  <c:pt idx="4">
                    <c:v>442</c:v>
                  </c:pt>
                  <c:pt idx="5">
                    <c:v>442</c:v>
                  </c:pt>
                </c:numCache>
              </c:numRef>
            </c:plus>
            <c:minus>
              <c:numRef>
                <c:f>Forecast!$S$35:$S$40</c:f>
                <c:numCache>
                  <c:formatCode>General</c:formatCode>
                  <c:ptCount val="6"/>
                  <c:pt idx="0">
                    <c:v>425</c:v>
                  </c:pt>
                  <c:pt idx="1">
                    <c:v>440</c:v>
                  </c:pt>
                  <c:pt idx="2">
                    <c:v>442</c:v>
                  </c:pt>
                  <c:pt idx="3">
                    <c:v>442</c:v>
                  </c:pt>
                  <c:pt idx="4">
                    <c:v>442</c:v>
                  </c:pt>
                  <c:pt idx="5">
                    <c:v>442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2">
                    <a:lumMod val="60000"/>
                    <a:lumOff val="40000"/>
                    <a:alpha val="60000"/>
                  </a:schemeClr>
                </a:solidFill>
                <a:round/>
              </a:ln>
              <a:effectLst/>
            </c:spPr>
          </c:errBars>
          <c:cat>
            <c:numRef>
              <c:f>Forecast!$N$2:$N$119</c:f>
              <c:numCache>
                <c:formatCode>m/d/yyyy</c:formatCode>
                <c:ptCount val="118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  <c:pt idx="36">
                  <c:v>43101</c:v>
                </c:pt>
                <c:pt idx="37">
                  <c:v>43132</c:v>
                </c:pt>
                <c:pt idx="38">
                  <c:v>43160</c:v>
                </c:pt>
              </c:numCache>
            </c:numRef>
          </c:cat>
          <c:val>
            <c:numRef>
              <c:f>Forecast!$P$2:$P$119</c:f>
              <c:numCache>
                <c:formatCode>General</c:formatCode>
                <c:ptCount val="1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2266</c:v>
                </c:pt>
                <c:pt idx="34">
                  <c:v>2219</c:v>
                </c:pt>
                <c:pt idx="35">
                  <c:v>2233</c:v>
                </c:pt>
                <c:pt idx="36">
                  <c:v>2229</c:v>
                </c:pt>
                <c:pt idx="37">
                  <c:v>2230</c:v>
                </c:pt>
                <c:pt idx="38">
                  <c:v>2230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C7-49F3-9204-02B0A444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6460111"/>
        <c:axId val="1066461551"/>
      </c:lineChart>
      <c:dateAx>
        <c:axId val="10664601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461551"/>
        <c:crosses val="autoZero"/>
        <c:auto val="1"/>
        <c:lblOffset val="100"/>
        <c:baseTimeUnit val="months"/>
      </c:dateAx>
      <c:valAx>
        <c:axId val="106646155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46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134206</xdr:colOff>
      <xdr:row>0</xdr:row>
      <xdr:rowOff>175846</xdr:rowOff>
    </xdr:from>
    <xdr:to>
      <xdr:col>15</xdr:col>
      <xdr:colOff>580606</xdr:colOff>
      <xdr:row>8</xdr:row>
      <xdr:rowOff>306000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4094081-7C62-4E5C-BA43-3FCC20309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134204</xdr:colOff>
      <xdr:row>10</xdr:row>
      <xdr:rowOff>-1</xdr:rowOff>
    </xdr:from>
    <xdr:to>
      <xdr:col>15</xdr:col>
      <xdr:colOff>580604</xdr:colOff>
      <xdr:row>23</xdr:row>
      <xdr:rowOff>153599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2AE846-77C2-411A-A1E5-81130D2A7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319341</xdr:colOff>
      <xdr:row>7</xdr:row>
      <xdr:rowOff>222738</xdr:rowOff>
    </xdr:from>
    <xdr:to>
      <xdr:col>7</xdr:col>
      <xdr:colOff>1242646</xdr:colOff>
      <xdr:row>20</xdr:row>
      <xdr:rowOff>130984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709E0F8-8349-4A61-AEEF-710DA0DE67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113270</xdr:rowOff>
        </xdr:from>
        <xdr:to>
          <xdr:col>1</xdr:col>
          <xdr:colOff>353197</xdr:colOff>
          <xdr:row>13</xdr:row>
          <xdr:rowOff>175054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376108</xdr:colOff>
      <xdr:row>5</xdr:row>
      <xdr:rowOff>43703</xdr:rowOff>
    </xdr:from>
    <xdr:to>
      <xdr:col>12</xdr:col>
      <xdr:colOff>322768</xdr:colOff>
      <xdr:row>21</xdr:row>
      <xdr:rowOff>87053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7A0E35-FDA4-9B0D-7D94-7D3FA161A4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</xdr:row>
          <xdr:rowOff>121920</xdr:rowOff>
        </xdr:from>
        <xdr:to>
          <xdr:col>9</xdr:col>
          <xdr:colOff>769620</xdr:colOff>
          <xdr:row>2</xdr:row>
          <xdr:rowOff>121920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Exceptions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byashree" refreshedDate="46224.094864583334" createdVersion="8" refreshedVersion="8" minRefreshableVersion="3" recordCount="853" xr:uid="{3F3F0EB6-192D-4C3C-AD01-49792A062B37}">
  <cacheSource type="worksheet">
    <worksheetSource name="KPI_Data"/>
  </cacheSource>
  <cacheFields count="10">
    <cacheField name="Month" numFmtId="164">
      <sharedItems containsSemiMixedTypes="0" containsNonDate="0" containsDate="1" containsString="0" minDate="2015-01-01T00:00:00" maxDate="2018-01-02T00:00:00" count="37"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</sharedItems>
      <fieldGroup par="9"/>
    </cacheField>
    <cacheField name="Category Name" numFmtId="0">
      <sharedItems count="51">
        <s v="Accessories"/>
        <s v="Baseball &amp; Softball"/>
        <s v="Boxing &amp; MMA"/>
        <s v="Camping &amp; Hiking"/>
        <s v="Cardio Equipment"/>
        <s v="Cleats"/>
        <s v="Electronics"/>
        <s v="Fishing"/>
        <s v="Fitness Accessories"/>
        <s v="Girls' Apparel"/>
        <s v="Golf Apparel"/>
        <s v="Golf Balls"/>
        <s v="Golf Gloves"/>
        <s v="Golf Shoes"/>
        <s v="Hockey"/>
        <s v="Hunting &amp; Shooting"/>
        <s v="Indoor/Outdoor Games"/>
        <s v="Lacrosse"/>
        <s v="Men's Footwear"/>
        <s v="Shop By Sport"/>
        <s v="Tennis &amp; Racquet"/>
        <s v="Trade-In"/>
        <s v="Water Sports"/>
        <s v="Women's Apparel"/>
        <s v="As Seen on  TV!"/>
        <s v="Golf Bags &amp; Carts"/>
        <s v="Kids' Golf Clubs"/>
        <s v="Men's Golf Clubs"/>
        <s v="Soccer"/>
        <s v="Strength Training"/>
        <s v="Women's Golf Clubs"/>
        <s v="Basketball"/>
        <s v="Baby "/>
        <s v="Books "/>
        <s v="CDs "/>
        <s v="Cameras "/>
        <s v="Children's Clothing"/>
        <s v="Computers"/>
        <s v="Consumer Electronics"/>
        <s v="Crafts"/>
        <s v="DVDs"/>
        <s v="Garden"/>
        <s v="Health and Beauty"/>
        <s v="Men's Clothing"/>
        <s v="Music"/>
        <s v="Pet Supplies"/>
        <s v="Sporting Goods"/>
        <s v="Toys"/>
        <s v="Video Games"/>
        <s v="Women's Clothing"/>
        <s v="ALL" u="1"/>
      </sharedItems>
    </cacheField>
    <cacheField name="Total_Orders" numFmtId="0">
      <sharedItems containsSemiMixedTypes="0" containsString="0" containsNumber="1" containsInteger="1" minValue="2" maxValue="802"/>
    </cacheField>
    <cacheField name="Avg_Lead_Time" numFmtId="0">
      <sharedItems containsSemiMixedTypes="0" containsString="0" containsNumber="1" minValue="1.8333333333333333" maxValue="4.7692307692307692"/>
    </cacheField>
    <cacheField name="OTD_Pct" numFmtId="0">
      <sharedItems containsSemiMixedTypes="0" containsString="0" containsNumber="1" minValue="0" maxValue="100"/>
    </cacheField>
    <cacheField name="Late_Count" numFmtId="0">
      <sharedItems containsSemiMixedTypes="0" containsString="0" containsNumber="1" containsInteger="1" minValue="0" maxValue="466"/>
    </cacheField>
    <cacheField name="Late_Delivery_Pct" numFmtId="0">
      <sharedItems containsSemiMixedTypes="0" containsString="0" containsNumber="1" minValue="0" maxValue="100"/>
    </cacheField>
    <cacheField name="Months (Month)" numFmtId="0" databaseField="0">
      <fieldGroup base="0">
        <rangePr groupBy="months" startDate="2015-01-01T00:00:00" endDate="2018-01-02T00:00:00"/>
        <groupItems count="14">
          <s v="&lt;01-01-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18"/>
        </groupItems>
      </fieldGroup>
    </cacheField>
    <cacheField name="Quarters (Month)" numFmtId="0" databaseField="0">
      <fieldGroup base="0">
        <rangePr groupBy="quarters" startDate="2015-01-01T00:00:00" endDate="2018-01-02T00:00:00"/>
        <groupItems count="6">
          <s v="&lt;01-01-2015"/>
          <s v="Qtr1"/>
          <s v="Qtr2"/>
          <s v="Qtr3"/>
          <s v="Qtr4"/>
          <s v="&gt;02-01-2018"/>
        </groupItems>
      </fieldGroup>
    </cacheField>
    <cacheField name="Years (Month)" numFmtId="0" databaseField="0">
      <fieldGroup base="0">
        <rangePr groupBy="years" startDate="2015-01-01T00:00:00" endDate="2018-01-02T00:00:00"/>
        <groupItems count="6">
          <s v="&lt;01-01-2015"/>
          <s v="2015"/>
          <s v="2016"/>
          <s v="2017"/>
          <s v="2018"/>
          <s v="&gt;02-01-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3">
  <r>
    <x v="0"/>
    <x v="0"/>
    <n v="56"/>
    <n v="3.5357142857142856"/>
    <n v="42.857142857142854"/>
    <n v="32"/>
    <n v="57.142857142857139"/>
  </r>
  <r>
    <x v="0"/>
    <x v="1"/>
    <n v="20"/>
    <n v="3.9"/>
    <n v="25"/>
    <n v="15"/>
    <n v="75"/>
  </r>
  <r>
    <x v="0"/>
    <x v="2"/>
    <n v="8"/>
    <n v="4.5"/>
    <n v="12.5"/>
    <n v="7"/>
    <n v="87.5"/>
  </r>
  <r>
    <x v="0"/>
    <x v="3"/>
    <n v="415"/>
    <n v="3.4361445783132529"/>
    <n v="48.674698795180724"/>
    <n v="213"/>
    <n v="51.325301204819276"/>
  </r>
  <r>
    <x v="0"/>
    <x v="4"/>
    <n v="417"/>
    <n v="3.6354916067146283"/>
    <n v="42.446043165467628"/>
    <n v="240"/>
    <n v="57.553956834532372"/>
  </r>
  <r>
    <x v="0"/>
    <x v="5"/>
    <n v="802"/>
    <n v="3.5785536159600997"/>
    <n v="45.885286783042396"/>
    <n v="434"/>
    <n v="54.114713216957611"/>
  </r>
  <r>
    <x v="0"/>
    <x v="6"/>
    <n v="126"/>
    <n v="3.5476190476190474"/>
    <n v="51.587301587301596"/>
    <n v="61"/>
    <n v="48.412698412698411"/>
  </r>
  <r>
    <x v="0"/>
    <x v="7"/>
    <n v="542"/>
    <n v="3.4889298892988929"/>
    <n v="46.494464944649444"/>
    <n v="290"/>
    <n v="53.505535055350549"/>
  </r>
  <r>
    <x v="0"/>
    <x v="8"/>
    <n v="13"/>
    <n v="2.5384615384615383"/>
    <n v="61.53846153846154"/>
    <n v="5"/>
    <n v="38.461538461538467"/>
  </r>
  <r>
    <x v="0"/>
    <x v="9"/>
    <n v="38"/>
    <n v="3.4473684210526314"/>
    <n v="50"/>
    <n v="19"/>
    <n v="50"/>
  </r>
  <r>
    <x v="0"/>
    <x v="10"/>
    <n v="9"/>
    <n v="4.1111111111111107"/>
    <n v="44.444444444444443"/>
    <n v="5"/>
    <n v="55.555555555555557"/>
  </r>
  <r>
    <x v="0"/>
    <x v="11"/>
    <n v="52"/>
    <n v="3.4615384615384617"/>
    <n v="46.153846153846153"/>
    <n v="28"/>
    <n v="53.846153846153847"/>
  </r>
  <r>
    <x v="0"/>
    <x v="12"/>
    <n v="29"/>
    <n v="3.3793103448275863"/>
    <n v="48.275862068965516"/>
    <n v="15"/>
    <n v="51.724137931034484"/>
  </r>
  <r>
    <x v="0"/>
    <x v="13"/>
    <n v="16"/>
    <n v="3.375"/>
    <n v="43.75"/>
    <n v="9"/>
    <n v="56.25"/>
  </r>
  <r>
    <x v="0"/>
    <x v="14"/>
    <n v="26"/>
    <n v="3.6538461538461537"/>
    <n v="57.692307692307686"/>
    <n v="11"/>
    <n v="42.307692307692307"/>
  </r>
  <r>
    <x v="0"/>
    <x v="15"/>
    <n v="17"/>
    <n v="3.5882352941176472"/>
    <n v="41.17647058823529"/>
    <n v="10"/>
    <n v="58.82352941176471"/>
  </r>
  <r>
    <x v="0"/>
    <x v="16"/>
    <n v="606"/>
    <n v="3.6270627062706269"/>
    <n v="44.38943894389439"/>
    <n v="337"/>
    <n v="55.61056105610561"/>
  </r>
  <r>
    <x v="0"/>
    <x v="17"/>
    <n v="10"/>
    <n v="3.7"/>
    <n v="70"/>
    <n v="3"/>
    <n v="30"/>
  </r>
  <r>
    <x v="0"/>
    <x v="18"/>
    <n v="620"/>
    <n v="3.4870967741935486"/>
    <n v="51.935483870967744"/>
    <n v="298"/>
    <n v="48.064516129032256"/>
  </r>
  <r>
    <x v="0"/>
    <x v="19"/>
    <n v="348"/>
    <n v="3.3132183908045976"/>
    <n v="47.126436781609193"/>
    <n v="184"/>
    <n v="52.873563218390807"/>
  </r>
  <r>
    <x v="0"/>
    <x v="20"/>
    <n v="16"/>
    <n v="3.125"/>
    <n v="31.25"/>
    <n v="11"/>
    <n v="68.75"/>
  </r>
  <r>
    <x v="0"/>
    <x v="21"/>
    <n v="38"/>
    <n v="3.5526315789473686"/>
    <n v="42.105263157894733"/>
    <n v="22"/>
    <n v="57.894736842105267"/>
  </r>
  <r>
    <x v="0"/>
    <x v="22"/>
    <n v="471"/>
    <n v="3.5010615711252653"/>
    <n v="43.949044585987259"/>
    <n v="264"/>
    <n v="56.050955414012741"/>
  </r>
  <r>
    <x v="0"/>
    <x v="23"/>
    <n v="627"/>
    <n v="3.5534290271132378"/>
    <n v="45.933014354066984"/>
    <n v="339"/>
    <n v="54.066985645933016"/>
  </r>
  <r>
    <x v="1"/>
    <x v="0"/>
    <n v="52"/>
    <n v="3.3269230769230771"/>
    <n v="44.230769230769226"/>
    <n v="29"/>
    <n v="55.769230769230774"/>
  </r>
  <r>
    <x v="1"/>
    <x v="1"/>
    <n v="18"/>
    <n v="3.7777777777777777"/>
    <n v="33.333333333333329"/>
    <n v="12"/>
    <n v="66.666666666666657"/>
  </r>
  <r>
    <x v="1"/>
    <x v="2"/>
    <n v="4"/>
    <n v="2.75"/>
    <n v="50"/>
    <n v="2"/>
    <n v="50"/>
  </r>
  <r>
    <x v="1"/>
    <x v="3"/>
    <n v="392"/>
    <n v="3.4260204081632653"/>
    <n v="45.91836734693878"/>
    <n v="212"/>
    <n v="54.081632653061227"/>
  </r>
  <r>
    <x v="1"/>
    <x v="4"/>
    <n v="323"/>
    <n v="3.4396284829721364"/>
    <n v="44.582043343653247"/>
    <n v="179"/>
    <n v="55.417956656346746"/>
  </r>
  <r>
    <x v="1"/>
    <x v="5"/>
    <n v="660"/>
    <n v="3.4272727272727272"/>
    <n v="45.909090909090914"/>
    <n v="357"/>
    <n v="54.090909090909086"/>
  </r>
  <r>
    <x v="1"/>
    <x v="6"/>
    <n v="108"/>
    <n v="3.4722222222222223"/>
    <n v="46.296296296296298"/>
    <n v="58"/>
    <n v="53.703703703703709"/>
  </r>
  <r>
    <x v="1"/>
    <x v="7"/>
    <n v="442"/>
    <n v="3.3981900452488687"/>
    <n v="47.963800904977376"/>
    <n v="230"/>
    <n v="52.036199095022631"/>
  </r>
  <r>
    <x v="1"/>
    <x v="8"/>
    <n v="7"/>
    <n v="4.4285714285714288"/>
    <n v="57.142857142857139"/>
    <n v="3"/>
    <n v="42.857142857142854"/>
  </r>
  <r>
    <x v="1"/>
    <x v="9"/>
    <n v="51"/>
    <n v="3.7254901960784315"/>
    <n v="39.215686274509807"/>
    <n v="31"/>
    <n v="60.784313725490193"/>
  </r>
  <r>
    <x v="1"/>
    <x v="10"/>
    <n v="11"/>
    <n v="3.2727272727272729"/>
    <n v="45.454545454545453"/>
    <n v="6"/>
    <n v="54.54545454545454"/>
  </r>
  <r>
    <x v="1"/>
    <x v="11"/>
    <n v="45"/>
    <n v="3.2444444444444445"/>
    <n v="48.888888888888886"/>
    <n v="23"/>
    <n v="51.111111111111107"/>
  </r>
  <r>
    <x v="1"/>
    <x v="12"/>
    <n v="25"/>
    <n v="3.48"/>
    <n v="52"/>
    <n v="12"/>
    <n v="48"/>
  </r>
  <r>
    <x v="1"/>
    <x v="13"/>
    <n v="15"/>
    <n v="4.0666666666666664"/>
    <n v="26.666666666666668"/>
    <n v="11"/>
    <n v="73.333333333333329"/>
  </r>
  <r>
    <x v="1"/>
    <x v="14"/>
    <n v="22"/>
    <n v="2.8181818181818183"/>
    <n v="50"/>
    <n v="11"/>
    <n v="50"/>
  </r>
  <r>
    <x v="1"/>
    <x v="15"/>
    <n v="14"/>
    <n v="2.1428571428571428"/>
    <n v="64.285714285714292"/>
    <n v="5"/>
    <n v="35.714285714285715"/>
  </r>
  <r>
    <x v="1"/>
    <x v="16"/>
    <n v="520"/>
    <n v="3.4865384615384616"/>
    <n v="46.346153846153847"/>
    <n v="279"/>
    <n v="53.653846153846153"/>
  </r>
  <r>
    <x v="1"/>
    <x v="17"/>
    <n v="8"/>
    <n v="3.875"/>
    <n v="25"/>
    <n v="6"/>
    <n v="75"/>
  </r>
  <r>
    <x v="1"/>
    <x v="18"/>
    <n v="642"/>
    <n v="3.5015576323987538"/>
    <n v="43.613707165109034"/>
    <n v="362"/>
    <n v="56.386292834890959"/>
  </r>
  <r>
    <x v="1"/>
    <x v="19"/>
    <n v="315"/>
    <n v="3.4476190476190478"/>
    <n v="43.80952380952381"/>
    <n v="177"/>
    <n v="56.19047619047619"/>
  </r>
  <r>
    <x v="1"/>
    <x v="20"/>
    <n v="9"/>
    <n v="4.333333333333333"/>
    <n v="11.111111111111111"/>
    <n v="8"/>
    <n v="88.888888888888886"/>
  </r>
  <r>
    <x v="1"/>
    <x v="21"/>
    <n v="27"/>
    <n v="3.7777777777777777"/>
    <n v="33.333333333333329"/>
    <n v="18"/>
    <n v="66.666666666666657"/>
  </r>
  <r>
    <x v="1"/>
    <x v="22"/>
    <n v="433"/>
    <n v="3.579676674364896"/>
    <n v="41.801385681293304"/>
    <n v="252"/>
    <n v="58.198614318706696"/>
  </r>
  <r>
    <x v="1"/>
    <x v="23"/>
    <n v="586"/>
    <n v="3.4795221843003414"/>
    <n v="47.610921501706486"/>
    <n v="307"/>
    <n v="52.389078498293514"/>
  </r>
  <r>
    <x v="2"/>
    <x v="0"/>
    <n v="66"/>
    <n v="3.4393939393939394"/>
    <n v="36.363636363636367"/>
    <n v="42"/>
    <n v="63.636363636363633"/>
  </r>
  <r>
    <x v="2"/>
    <x v="1"/>
    <n v="19"/>
    <n v="3.5789473684210527"/>
    <n v="47.368421052631575"/>
    <n v="10"/>
    <n v="52.631578947368418"/>
  </r>
  <r>
    <x v="2"/>
    <x v="2"/>
    <n v="13"/>
    <n v="3.4615384615384617"/>
    <n v="23.076923076923077"/>
    <n v="10"/>
    <n v="76.923076923076934"/>
  </r>
  <r>
    <x v="2"/>
    <x v="3"/>
    <n v="405"/>
    <n v="3.4864197530864196"/>
    <n v="43.456790123456791"/>
    <n v="229"/>
    <n v="56.543209876543209"/>
  </r>
  <r>
    <x v="2"/>
    <x v="4"/>
    <n v="396"/>
    <n v="3.4065656565656566"/>
    <n v="43.686868686868685"/>
    <n v="223"/>
    <n v="56.313131313131315"/>
  </r>
  <r>
    <x v="2"/>
    <x v="5"/>
    <n v="773"/>
    <n v="3.5097024579560157"/>
    <n v="43.725743855109961"/>
    <n v="435"/>
    <n v="56.274256144890032"/>
  </r>
  <r>
    <x v="2"/>
    <x v="6"/>
    <n v="123"/>
    <n v="3.4634146341463414"/>
    <n v="36.585365853658537"/>
    <n v="78"/>
    <n v="63.414634146341463"/>
  </r>
  <r>
    <x v="2"/>
    <x v="7"/>
    <n v="525"/>
    <n v="3.3752380952380951"/>
    <n v="50.285714285714292"/>
    <n v="261"/>
    <n v="49.714285714285715"/>
  </r>
  <r>
    <x v="2"/>
    <x v="8"/>
    <n v="9"/>
    <n v="3.5555555555555554"/>
    <n v="11.111111111111111"/>
    <n v="8"/>
    <n v="88.888888888888886"/>
  </r>
  <r>
    <x v="2"/>
    <x v="9"/>
    <n v="46"/>
    <n v="3.5434782608695654"/>
    <n v="43.478260869565219"/>
    <n v="26"/>
    <n v="56.521739130434781"/>
  </r>
  <r>
    <x v="2"/>
    <x v="10"/>
    <n v="6"/>
    <n v="3.6666666666666665"/>
    <n v="50"/>
    <n v="3"/>
    <n v="50"/>
  </r>
  <r>
    <x v="2"/>
    <x v="11"/>
    <n v="68"/>
    <n v="3.5882352941176472"/>
    <n v="42.647058823529413"/>
    <n v="39"/>
    <n v="57.352941176470587"/>
  </r>
  <r>
    <x v="2"/>
    <x v="12"/>
    <n v="36"/>
    <n v="3.3888888888888888"/>
    <n v="52.777777777777779"/>
    <n v="17"/>
    <n v="47.222222222222221"/>
  </r>
  <r>
    <x v="2"/>
    <x v="13"/>
    <n v="14"/>
    <n v="3.3571428571428572"/>
    <n v="42.857142857142854"/>
    <n v="8"/>
    <n v="57.142857142857139"/>
  </r>
  <r>
    <x v="2"/>
    <x v="14"/>
    <n v="17"/>
    <n v="3.4117647058823528"/>
    <n v="47.058823529411761"/>
    <n v="9"/>
    <n v="52.941176470588239"/>
  </r>
  <r>
    <x v="2"/>
    <x v="15"/>
    <n v="13"/>
    <n v="3.3846153846153846"/>
    <n v="53.846153846153847"/>
    <n v="6"/>
    <n v="46.153846153846153"/>
  </r>
  <r>
    <x v="2"/>
    <x v="16"/>
    <n v="635"/>
    <n v="3.5952755905511813"/>
    <n v="44.251968503937007"/>
    <n v="354"/>
    <n v="55.748031496062985"/>
  </r>
  <r>
    <x v="2"/>
    <x v="17"/>
    <n v="10"/>
    <n v="3.4"/>
    <n v="30"/>
    <n v="7"/>
    <n v="70"/>
  </r>
  <r>
    <x v="2"/>
    <x v="18"/>
    <n v="618"/>
    <n v="3.4773462783171523"/>
    <n v="44.983818770226534"/>
    <n v="340"/>
    <n v="55.016181229773466"/>
  </r>
  <r>
    <x v="2"/>
    <x v="19"/>
    <n v="367"/>
    <n v="3.4523160762942777"/>
    <n v="47.956403269754766"/>
    <n v="191"/>
    <n v="52.043596730245234"/>
  </r>
  <r>
    <x v="2"/>
    <x v="20"/>
    <n v="15"/>
    <n v="3.2666666666666666"/>
    <n v="53.333333333333336"/>
    <n v="7"/>
    <n v="46.666666666666664"/>
  </r>
  <r>
    <x v="2"/>
    <x v="21"/>
    <n v="43"/>
    <n v="3.8372093023255816"/>
    <n v="44.186046511627907"/>
    <n v="24"/>
    <n v="55.813953488372093"/>
  </r>
  <r>
    <x v="2"/>
    <x v="22"/>
    <n v="480"/>
    <n v="3.3791666666666669"/>
    <n v="47.5"/>
    <n v="252"/>
    <n v="52.5"/>
  </r>
  <r>
    <x v="2"/>
    <x v="23"/>
    <n v="665"/>
    <n v="3.4436090225563909"/>
    <n v="44.060150375939848"/>
    <n v="372"/>
    <n v="55.939849624060145"/>
  </r>
  <r>
    <x v="3"/>
    <x v="0"/>
    <n v="53"/>
    <n v="3.2075471698113209"/>
    <n v="54.716981132075468"/>
    <n v="24"/>
    <n v="45.283018867924532"/>
  </r>
  <r>
    <x v="3"/>
    <x v="1"/>
    <n v="21"/>
    <n v="3.3333333333333335"/>
    <n v="52.380952380952387"/>
    <n v="10"/>
    <n v="47.619047619047613"/>
  </r>
  <r>
    <x v="3"/>
    <x v="2"/>
    <n v="13"/>
    <n v="3"/>
    <n v="38.461538461538467"/>
    <n v="8"/>
    <n v="61.53846153846154"/>
  </r>
  <r>
    <x v="3"/>
    <x v="3"/>
    <n v="417"/>
    <n v="3.5827338129496402"/>
    <n v="44.84412470023981"/>
    <n v="230"/>
    <n v="55.15587529976019"/>
  </r>
  <r>
    <x v="3"/>
    <x v="4"/>
    <n v="354"/>
    <n v="3.7033898305084745"/>
    <n v="43.78531073446328"/>
    <n v="199"/>
    <n v="56.21468926553672"/>
  </r>
  <r>
    <x v="3"/>
    <x v="5"/>
    <n v="726"/>
    <n v="3.5991735537190084"/>
    <n v="48.484848484848484"/>
    <n v="374"/>
    <n v="51.515151515151516"/>
  </r>
  <r>
    <x v="3"/>
    <x v="6"/>
    <n v="97"/>
    <n v="3.2783505154639174"/>
    <n v="43.298969072164951"/>
    <n v="55"/>
    <n v="56.701030927835049"/>
  </r>
  <r>
    <x v="3"/>
    <x v="7"/>
    <n v="523"/>
    <n v="3.5086042065009559"/>
    <n v="44.359464627151048"/>
    <n v="291"/>
    <n v="55.640535372848952"/>
  </r>
  <r>
    <x v="3"/>
    <x v="8"/>
    <n v="21"/>
    <n v="3.4761904761904763"/>
    <n v="38.095238095238095"/>
    <n v="13"/>
    <n v="61.904761904761905"/>
  </r>
  <r>
    <x v="3"/>
    <x v="9"/>
    <n v="45"/>
    <n v="3.2888888888888888"/>
    <n v="40"/>
    <n v="27"/>
    <n v="60"/>
  </r>
  <r>
    <x v="3"/>
    <x v="10"/>
    <n v="12"/>
    <n v="3.5"/>
    <n v="58.333333333333336"/>
    <n v="5"/>
    <n v="41.666666666666671"/>
  </r>
  <r>
    <x v="3"/>
    <x v="11"/>
    <n v="56"/>
    <n v="3.5357142857142856"/>
    <n v="50"/>
    <n v="28"/>
    <n v="50"/>
  </r>
  <r>
    <x v="3"/>
    <x v="12"/>
    <n v="29"/>
    <n v="3.8620689655172415"/>
    <n v="37.931034482758619"/>
    <n v="18"/>
    <n v="62.068965517241381"/>
  </r>
  <r>
    <x v="3"/>
    <x v="13"/>
    <n v="4"/>
    <n v="3.5"/>
    <n v="50"/>
    <n v="2"/>
    <n v="50"/>
  </r>
  <r>
    <x v="3"/>
    <x v="14"/>
    <n v="16"/>
    <n v="3.4375"/>
    <n v="50"/>
    <n v="8"/>
    <n v="50"/>
  </r>
  <r>
    <x v="3"/>
    <x v="15"/>
    <n v="8"/>
    <n v="3.25"/>
    <n v="75"/>
    <n v="2"/>
    <n v="25"/>
  </r>
  <r>
    <x v="3"/>
    <x v="16"/>
    <n v="569"/>
    <n v="3.4481546572934976"/>
    <n v="49.736379613356767"/>
    <n v="286"/>
    <n v="50.26362038664324"/>
  </r>
  <r>
    <x v="3"/>
    <x v="17"/>
    <n v="10"/>
    <n v="3.5"/>
    <n v="50"/>
    <n v="5"/>
    <n v="50"/>
  </r>
  <r>
    <x v="3"/>
    <x v="18"/>
    <n v="653"/>
    <n v="3.4900459418070442"/>
    <n v="45.788667687595712"/>
    <n v="354"/>
    <n v="54.211332312404295"/>
  </r>
  <r>
    <x v="3"/>
    <x v="19"/>
    <n v="306"/>
    <n v="3.4705882352941178"/>
    <n v="44.117647058823529"/>
    <n v="171"/>
    <n v="55.882352941176471"/>
  </r>
  <r>
    <x v="3"/>
    <x v="20"/>
    <n v="7"/>
    <n v="2.8571428571428572"/>
    <n v="57.142857142857139"/>
    <n v="3"/>
    <n v="42.857142857142854"/>
  </r>
  <r>
    <x v="3"/>
    <x v="21"/>
    <n v="35"/>
    <n v="3.6285714285714286"/>
    <n v="42.857142857142854"/>
    <n v="20"/>
    <n v="57.142857142857139"/>
  </r>
  <r>
    <x v="3"/>
    <x v="22"/>
    <n v="489"/>
    <n v="3.4785276073619631"/>
    <n v="46.216768916155424"/>
    <n v="263"/>
    <n v="53.783231083844584"/>
  </r>
  <r>
    <x v="3"/>
    <x v="23"/>
    <n v="662"/>
    <n v="3.4486404833836857"/>
    <n v="46.374622356495472"/>
    <n v="355"/>
    <n v="53.625377643504535"/>
  </r>
  <r>
    <x v="4"/>
    <x v="0"/>
    <n v="70"/>
    <n v="3.157142857142857"/>
    <n v="42.857142857142854"/>
    <n v="40"/>
    <n v="57.142857142857139"/>
  </r>
  <r>
    <x v="4"/>
    <x v="1"/>
    <n v="26"/>
    <n v="3.2692307692307692"/>
    <n v="42.307692307692307"/>
    <n v="15"/>
    <n v="57.692307692307686"/>
  </r>
  <r>
    <x v="4"/>
    <x v="2"/>
    <n v="12"/>
    <n v="3.5833333333333335"/>
    <n v="25"/>
    <n v="9"/>
    <n v="75"/>
  </r>
  <r>
    <x v="4"/>
    <x v="3"/>
    <n v="392"/>
    <n v="3.4464285714285716"/>
    <n v="44.897959183673471"/>
    <n v="216"/>
    <n v="55.102040816326522"/>
  </r>
  <r>
    <x v="4"/>
    <x v="4"/>
    <n v="461"/>
    <n v="3.3861171366594358"/>
    <n v="45.986984815618221"/>
    <n v="249"/>
    <n v="54.013015184381771"/>
  </r>
  <r>
    <x v="4"/>
    <x v="5"/>
    <n v="750"/>
    <n v="3.4746666666666668"/>
    <n v="46.533333333333331"/>
    <n v="401"/>
    <n v="53.466666666666661"/>
  </r>
  <r>
    <x v="4"/>
    <x v="6"/>
    <n v="120"/>
    <n v="3.3666666666666667"/>
    <n v="44.166666666666664"/>
    <n v="67"/>
    <n v="55.833333333333336"/>
  </r>
  <r>
    <x v="4"/>
    <x v="7"/>
    <n v="516"/>
    <n v="3.5155038759689923"/>
    <n v="43.02325581395349"/>
    <n v="294"/>
    <n v="56.97674418604651"/>
  </r>
  <r>
    <x v="4"/>
    <x v="8"/>
    <n v="10"/>
    <n v="3.5"/>
    <n v="30"/>
    <n v="7"/>
    <n v="70"/>
  </r>
  <r>
    <x v="4"/>
    <x v="9"/>
    <n v="41"/>
    <n v="3.4390243902439024"/>
    <n v="46.341463414634148"/>
    <n v="22"/>
    <n v="53.658536585365859"/>
  </r>
  <r>
    <x v="4"/>
    <x v="10"/>
    <n v="11"/>
    <n v="4.4545454545454541"/>
    <n v="36.363636363636367"/>
    <n v="7"/>
    <n v="63.636363636363633"/>
  </r>
  <r>
    <x v="4"/>
    <x v="11"/>
    <n v="64"/>
    <n v="3.40625"/>
    <n v="45.3125"/>
    <n v="35"/>
    <n v="54.6875"/>
  </r>
  <r>
    <x v="4"/>
    <x v="12"/>
    <n v="43"/>
    <n v="3.4186046511627906"/>
    <n v="53.488372093023251"/>
    <n v="20"/>
    <n v="46.511627906976742"/>
  </r>
  <r>
    <x v="4"/>
    <x v="13"/>
    <n v="14"/>
    <n v="3.5714285714285716"/>
    <n v="64.285714285714292"/>
    <n v="5"/>
    <n v="35.714285714285715"/>
  </r>
  <r>
    <x v="4"/>
    <x v="14"/>
    <n v="31"/>
    <n v="3.161290322580645"/>
    <n v="51.612903225806448"/>
    <n v="15"/>
    <n v="48.387096774193552"/>
  </r>
  <r>
    <x v="4"/>
    <x v="15"/>
    <n v="9"/>
    <n v="3.6666666666666665"/>
    <n v="22.222222222222221"/>
    <n v="7"/>
    <n v="77.777777777777786"/>
  </r>
  <r>
    <x v="4"/>
    <x v="16"/>
    <n v="596"/>
    <n v="3.3808724832214767"/>
    <n v="45.805369127516776"/>
    <n v="323"/>
    <n v="54.194630872483216"/>
  </r>
  <r>
    <x v="4"/>
    <x v="17"/>
    <n v="14"/>
    <n v="3.8571428571428572"/>
    <n v="28.571428571428569"/>
    <n v="10"/>
    <n v="71.428571428571431"/>
  </r>
  <r>
    <x v="4"/>
    <x v="18"/>
    <n v="644"/>
    <n v="3.4363354037267082"/>
    <n v="46.273291925465834"/>
    <n v="346"/>
    <n v="53.726708074534159"/>
  </r>
  <r>
    <x v="4"/>
    <x v="19"/>
    <n v="355"/>
    <n v="3.5492957746478875"/>
    <n v="41.12676056338028"/>
    <n v="209"/>
    <n v="58.87323943661972"/>
  </r>
  <r>
    <x v="4"/>
    <x v="20"/>
    <n v="7"/>
    <n v="4.1428571428571432"/>
    <n v="42.857142857142854"/>
    <n v="4"/>
    <n v="57.142857142857139"/>
  </r>
  <r>
    <x v="4"/>
    <x v="21"/>
    <n v="27"/>
    <n v="3.3703703703703702"/>
    <n v="40.74074074074074"/>
    <n v="16"/>
    <n v="59.259259259259252"/>
  </r>
  <r>
    <x v="4"/>
    <x v="22"/>
    <n v="495"/>
    <n v="3.4161616161616162"/>
    <n v="45.454545454545453"/>
    <n v="270"/>
    <n v="54.54545454545454"/>
  </r>
  <r>
    <x v="4"/>
    <x v="23"/>
    <n v="649"/>
    <n v="3.4776579352850541"/>
    <n v="42.372881355932201"/>
    <n v="374"/>
    <n v="57.627118644067799"/>
  </r>
  <r>
    <x v="5"/>
    <x v="0"/>
    <n v="65"/>
    <n v="3.476923076923077"/>
    <n v="47.692307692307693"/>
    <n v="34"/>
    <n v="52.307692307692314"/>
  </r>
  <r>
    <x v="5"/>
    <x v="1"/>
    <n v="16"/>
    <n v="3.5"/>
    <n v="56.25"/>
    <n v="7"/>
    <n v="43.75"/>
  </r>
  <r>
    <x v="5"/>
    <x v="2"/>
    <n v="7"/>
    <n v="3.1428571428571428"/>
    <n v="57.142857142857139"/>
    <n v="3"/>
    <n v="42.857142857142854"/>
  </r>
  <r>
    <x v="5"/>
    <x v="3"/>
    <n v="411"/>
    <n v="3.4793187347931873"/>
    <n v="48.418491484184919"/>
    <n v="212"/>
    <n v="51.581508515815088"/>
  </r>
  <r>
    <x v="5"/>
    <x v="4"/>
    <n v="433"/>
    <n v="3.4595842956120091"/>
    <n v="49.653579676674362"/>
    <n v="218"/>
    <n v="50.346420323325638"/>
  </r>
  <r>
    <x v="5"/>
    <x v="5"/>
    <n v="722"/>
    <n v="3.5235457063711912"/>
    <n v="46.260387811634352"/>
    <n v="388"/>
    <n v="53.739612188365648"/>
  </r>
  <r>
    <x v="5"/>
    <x v="6"/>
    <n v="109"/>
    <n v="3.1376146788990824"/>
    <n v="50.458715596330272"/>
    <n v="54"/>
    <n v="49.541284403669728"/>
  </r>
  <r>
    <x v="5"/>
    <x v="7"/>
    <n v="538"/>
    <n v="3.503717472118959"/>
    <n v="43.308550185873607"/>
    <n v="305"/>
    <n v="56.691449814126393"/>
  </r>
  <r>
    <x v="5"/>
    <x v="8"/>
    <n v="10"/>
    <n v="2.7"/>
    <n v="30"/>
    <n v="7"/>
    <n v="70"/>
  </r>
  <r>
    <x v="5"/>
    <x v="9"/>
    <n v="51"/>
    <n v="3.5098039215686274"/>
    <n v="41.17647058823529"/>
    <n v="30"/>
    <n v="58.82352941176471"/>
  </r>
  <r>
    <x v="5"/>
    <x v="10"/>
    <n v="12"/>
    <n v="3"/>
    <n v="58.333333333333336"/>
    <n v="5"/>
    <n v="41.666666666666671"/>
  </r>
  <r>
    <x v="5"/>
    <x v="11"/>
    <n v="46"/>
    <n v="3.7173913043478262"/>
    <n v="39.130434782608695"/>
    <n v="28"/>
    <n v="60.869565217391312"/>
  </r>
  <r>
    <x v="5"/>
    <x v="12"/>
    <n v="28"/>
    <n v="3.0357142857142856"/>
    <n v="46.428571428571431"/>
    <n v="15"/>
    <n v="53.571428571428569"/>
  </r>
  <r>
    <x v="5"/>
    <x v="13"/>
    <n v="16"/>
    <n v="3.5"/>
    <n v="25"/>
    <n v="12"/>
    <n v="75"/>
  </r>
  <r>
    <x v="5"/>
    <x v="14"/>
    <n v="26"/>
    <n v="3.4230769230769229"/>
    <n v="50"/>
    <n v="13"/>
    <n v="50"/>
  </r>
  <r>
    <x v="5"/>
    <x v="15"/>
    <n v="9"/>
    <n v="3.5555555555555554"/>
    <n v="33.333333333333329"/>
    <n v="6"/>
    <n v="66.666666666666657"/>
  </r>
  <r>
    <x v="5"/>
    <x v="16"/>
    <n v="557"/>
    <n v="3.5547576301615798"/>
    <n v="45.601436265709154"/>
    <n v="303"/>
    <n v="54.398563734290839"/>
  </r>
  <r>
    <x v="5"/>
    <x v="17"/>
    <n v="5"/>
    <n v="3.8"/>
    <n v="60"/>
    <n v="2"/>
    <n v="40"/>
  </r>
  <r>
    <x v="5"/>
    <x v="18"/>
    <n v="666"/>
    <n v="3.5675675675675675"/>
    <n v="44.74474474474475"/>
    <n v="368"/>
    <n v="55.25525525525525"/>
  </r>
  <r>
    <x v="5"/>
    <x v="19"/>
    <n v="316"/>
    <n v="3.5"/>
    <n v="49.050632911392405"/>
    <n v="161"/>
    <n v="50.949367088607602"/>
  </r>
  <r>
    <x v="5"/>
    <x v="20"/>
    <n v="10"/>
    <n v="3.3"/>
    <n v="40"/>
    <n v="6"/>
    <n v="60"/>
  </r>
  <r>
    <x v="5"/>
    <x v="21"/>
    <n v="30"/>
    <n v="3.5333333333333332"/>
    <n v="33.333333333333329"/>
    <n v="20"/>
    <n v="66.666666666666657"/>
  </r>
  <r>
    <x v="5"/>
    <x v="22"/>
    <n v="460"/>
    <n v="3.4717391304347824"/>
    <n v="43.04347826086957"/>
    <n v="262"/>
    <n v="56.956521739130437"/>
  </r>
  <r>
    <x v="5"/>
    <x v="23"/>
    <n v="591"/>
    <n v="3.5194585448392557"/>
    <n v="46.192893401015226"/>
    <n v="318"/>
    <n v="53.807106598984767"/>
  </r>
  <r>
    <x v="6"/>
    <x v="0"/>
    <n v="68"/>
    <n v="4.0441176470588234"/>
    <n v="35.294117647058826"/>
    <n v="44"/>
    <n v="64.705882352941174"/>
  </r>
  <r>
    <x v="6"/>
    <x v="1"/>
    <n v="25"/>
    <n v="3.24"/>
    <n v="56.000000000000007"/>
    <n v="11"/>
    <n v="44"/>
  </r>
  <r>
    <x v="6"/>
    <x v="2"/>
    <n v="5"/>
    <n v="2.8"/>
    <n v="60"/>
    <n v="2"/>
    <n v="40"/>
  </r>
  <r>
    <x v="6"/>
    <x v="3"/>
    <n v="412"/>
    <n v="3.3567961165048543"/>
    <n v="48.05825242718447"/>
    <n v="214"/>
    <n v="51.94174757281553"/>
  </r>
  <r>
    <x v="6"/>
    <x v="4"/>
    <n v="381"/>
    <n v="3.5406824146981628"/>
    <n v="44.356955380577432"/>
    <n v="212"/>
    <n v="55.643044619422575"/>
  </r>
  <r>
    <x v="6"/>
    <x v="5"/>
    <n v="748"/>
    <n v="3.3302139037433154"/>
    <n v="46.390374331550802"/>
    <n v="401"/>
    <n v="53.609625668449198"/>
  </r>
  <r>
    <x v="6"/>
    <x v="6"/>
    <n v="119"/>
    <n v="3.4705882352941178"/>
    <n v="47.058823529411761"/>
    <n v="63"/>
    <n v="52.941176470588239"/>
  </r>
  <r>
    <x v="6"/>
    <x v="7"/>
    <n v="515"/>
    <n v="3.5980582524271845"/>
    <n v="41.941747572815537"/>
    <n v="299"/>
    <n v="58.058252427184463"/>
  </r>
  <r>
    <x v="6"/>
    <x v="8"/>
    <n v="6"/>
    <n v="4.333333333333333"/>
    <n v="50"/>
    <n v="3"/>
    <n v="50"/>
  </r>
  <r>
    <x v="6"/>
    <x v="9"/>
    <n v="49"/>
    <n v="3.7346938775510203"/>
    <n v="36.734693877551024"/>
    <n v="31"/>
    <n v="63.265306122448983"/>
  </r>
  <r>
    <x v="6"/>
    <x v="10"/>
    <n v="15"/>
    <n v="3.1333333333333333"/>
    <n v="20"/>
    <n v="12"/>
    <n v="80"/>
  </r>
  <r>
    <x v="6"/>
    <x v="11"/>
    <n v="48"/>
    <n v="3.5416666666666665"/>
    <n v="47.916666666666671"/>
    <n v="25"/>
    <n v="52.083333333333336"/>
  </r>
  <r>
    <x v="6"/>
    <x v="12"/>
    <n v="29"/>
    <n v="4.0344827586206895"/>
    <n v="41.379310344827587"/>
    <n v="17"/>
    <n v="58.620689655172406"/>
  </r>
  <r>
    <x v="6"/>
    <x v="13"/>
    <n v="11"/>
    <n v="2.7272727272727271"/>
    <n v="54.54545454545454"/>
    <n v="5"/>
    <n v="45.454545454545453"/>
  </r>
  <r>
    <x v="6"/>
    <x v="14"/>
    <n v="17"/>
    <n v="2.5294117647058822"/>
    <n v="52.941176470588239"/>
    <n v="8"/>
    <n v="47.058823529411761"/>
  </r>
  <r>
    <x v="6"/>
    <x v="15"/>
    <n v="13"/>
    <n v="3.7692307692307692"/>
    <n v="38.461538461538467"/>
    <n v="8"/>
    <n v="61.53846153846154"/>
  </r>
  <r>
    <x v="6"/>
    <x v="16"/>
    <n v="614"/>
    <n v="3.3925081433224755"/>
    <n v="43.811074918566774"/>
    <n v="345"/>
    <n v="56.188925081433226"/>
  </r>
  <r>
    <x v="6"/>
    <x v="17"/>
    <n v="10"/>
    <n v="3.6"/>
    <n v="40"/>
    <n v="6"/>
    <n v="60"/>
  </r>
  <r>
    <x v="6"/>
    <x v="18"/>
    <n v="664"/>
    <n v="3.3298192771084336"/>
    <n v="44.728915662650607"/>
    <n v="367"/>
    <n v="55.271084337349393"/>
  </r>
  <r>
    <x v="6"/>
    <x v="19"/>
    <n v="331"/>
    <n v="3.3836858006042294"/>
    <n v="45.317220543806648"/>
    <n v="181"/>
    <n v="54.682779456193352"/>
  </r>
  <r>
    <x v="6"/>
    <x v="20"/>
    <n v="16"/>
    <n v="3.375"/>
    <n v="43.75"/>
    <n v="9"/>
    <n v="56.25"/>
  </r>
  <r>
    <x v="6"/>
    <x v="21"/>
    <n v="33"/>
    <n v="3.8484848484848486"/>
    <n v="45.454545454545453"/>
    <n v="18"/>
    <n v="54.54545454545454"/>
  </r>
  <r>
    <x v="6"/>
    <x v="22"/>
    <n v="472"/>
    <n v="3.4555084745762712"/>
    <n v="46.398305084745758"/>
    <n v="253"/>
    <n v="53.601694915254242"/>
  </r>
  <r>
    <x v="6"/>
    <x v="23"/>
    <n v="698"/>
    <n v="3.5042979942693409"/>
    <n v="46.704871060171918"/>
    <n v="372"/>
    <n v="53.295128939828082"/>
  </r>
  <r>
    <x v="7"/>
    <x v="0"/>
    <n v="64"/>
    <n v="3.46875"/>
    <n v="42.1875"/>
    <n v="37"/>
    <n v="57.8125"/>
  </r>
  <r>
    <x v="7"/>
    <x v="1"/>
    <n v="14"/>
    <n v="3.8571428571428572"/>
    <n v="28.571428571428569"/>
    <n v="10"/>
    <n v="71.428571428571431"/>
  </r>
  <r>
    <x v="7"/>
    <x v="2"/>
    <n v="9"/>
    <n v="3.2222222222222223"/>
    <n v="66.666666666666657"/>
    <n v="3"/>
    <n v="33.333333333333329"/>
  </r>
  <r>
    <x v="7"/>
    <x v="3"/>
    <n v="407"/>
    <n v="3.5356265356265357"/>
    <n v="43.488943488943491"/>
    <n v="230"/>
    <n v="56.511056511056509"/>
  </r>
  <r>
    <x v="7"/>
    <x v="4"/>
    <n v="375"/>
    <n v="3.3653333333333335"/>
    <n v="42.666666666666671"/>
    <n v="215"/>
    <n v="57.333333333333336"/>
  </r>
  <r>
    <x v="7"/>
    <x v="5"/>
    <n v="801"/>
    <n v="3.3832709113607988"/>
    <n v="44.694132334581774"/>
    <n v="443"/>
    <n v="55.305867665418226"/>
  </r>
  <r>
    <x v="7"/>
    <x v="6"/>
    <n v="119"/>
    <n v="3.6302521008403361"/>
    <n v="43.69747899159664"/>
    <n v="67"/>
    <n v="56.30252100840336"/>
  </r>
  <r>
    <x v="7"/>
    <x v="7"/>
    <n v="509"/>
    <n v="3.3948919449901767"/>
    <n v="42.436149312377211"/>
    <n v="293"/>
    <n v="57.563850687622789"/>
  </r>
  <r>
    <x v="7"/>
    <x v="8"/>
    <n v="11"/>
    <n v="2.4545454545454546"/>
    <n v="54.54545454545454"/>
    <n v="5"/>
    <n v="45.454545454545453"/>
  </r>
  <r>
    <x v="7"/>
    <x v="9"/>
    <n v="40"/>
    <n v="3.4249999999999998"/>
    <n v="52.5"/>
    <n v="19"/>
    <n v="47.5"/>
  </r>
  <r>
    <x v="7"/>
    <x v="10"/>
    <n v="17"/>
    <n v="4"/>
    <n v="41.17647058823529"/>
    <n v="10"/>
    <n v="58.82352941176471"/>
  </r>
  <r>
    <x v="7"/>
    <x v="11"/>
    <n v="63"/>
    <n v="3.3650793650793651"/>
    <n v="50.793650793650791"/>
    <n v="31"/>
    <n v="49.206349206349202"/>
  </r>
  <r>
    <x v="7"/>
    <x v="12"/>
    <n v="23"/>
    <n v="3.1739130434782608"/>
    <n v="47.826086956521742"/>
    <n v="12"/>
    <n v="52.173913043478258"/>
  </r>
  <r>
    <x v="7"/>
    <x v="13"/>
    <n v="9"/>
    <n v="3.6666666666666665"/>
    <n v="55.555555555555557"/>
    <n v="4"/>
    <n v="44.444444444444443"/>
  </r>
  <r>
    <x v="7"/>
    <x v="14"/>
    <n v="27"/>
    <n v="3.4074074074074074"/>
    <n v="55.555555555555557"/>
    <n v="12"/>
    <n v="44.444444444444443"/>
  </r>
  <r>
    <x v="7"/>
    <x v="15"/>
    <n v="20"/>
    <n v="3.5"/>
    <n v="35"/>
    <n v="13"/>
    <n v="65"/>
  </r>
  <r>
    <x v="7"/>
    <x v="16"/>
    <n v="524"/>
    <n v="3.4083969465648853"/>
    <n v="45.038167938931295"/>
    <n v="288"/>
    <n v="54.961832061068705"/>
  </r>
  <r>
    <x v="7"/>
    <x v="17"/>
    <n v="12"/>
    <n v="2.4166666666666665"/>
    <n v="75"/>
    <n v="3"/>
    <n v="25"/>
  </r>
  <r>
    <x v="7"/>
    <x v="18"/>
    <n v="688"/>
    <n v="3.4694767441860463"/>
    <n v="43.02325581395349"/>
    <n v="392"/>
    <n v="56.97674418604651"/>
  </r>
  <r>
    <x v="7"/>
    <x v="19"/>
    <n v="347"/>
    <n v="3.5619596541786742"/>
    <n v="43.515850144092219"/>
    <n v="196"/>
    <n v="56.484149855907781"/>
  </r>
  <r>
    <x v="7"/>
    <x v="20"/>
    <n v="13"/>
    <n v="4.3076923076923075"/>
    <n v="23.076923076923077"/>
    <n v="10"/>
    <n v="76.923076923076934"/>
  </r>
  <r>
    <x v="7"/>
    <x v="21"/>
    <n v="30"/>
    <n v="3.7666666666666666"/>
    <n v="50"/>
    <n v="15"/>
    <n v="50"/>
  </r>
  <r>
    <x v="7"/>
    <x v="22"/>
    <n v="488"/>
    <n v="3.4508196721311477"/>
    <n v="44.467213114754102"/>
    <n v="271"/>
    <n v="55.532786885245898"/>
  </r>
  <r>
    <x v="7"/>
    <x v="23"/>
    <n v="663"/>
    <n v="3.4615384615384617"/>
    <n v="44.796380090497742"/>
    <n v="366"/>
    <n v="55.203619909502265"/>
  </r>
  <r>
    <x v="8"/>
    <x v="0"/>
    <n v="61"/>
    <n v="3.3114754098360657"/>
    <n v="50.819672131147541"/>
    <n v="30"/>
    <n v="49.180327868852459"/>
  </r>
  <r>
    <x v="8"/>
    <x v="1"/>
    <n v="25"/>
    <n v="3.28"/>
    <n v="56.000000000000007"/>
    <n v="11"/>
    <n v="44"/>
  </r>
  <r>
    <x v="8"/>
    <x v="2"/>
    <n v="9"/>
    <n v="3.1111111111111112"/>
    <n v="55.555555555555557"/>
    <n v="4"/>
    <n v="44.444444444444443"/>
  </r>
  <r>
    <x v="8"/>
    <x v="3"/>
    <n v="436"/>
    <n v="3.346330275229358"/>
    <n v="47.706422018348626"/>
    <n v="228"/>
    <n v="52.293577981651374"/>
  </r>
  <r>
    <x v="8"/>
    <x v="4"/>
    <n v="377"/>
    <n v="3.5676392572944295"/>
    <n v="43.50132625994695"/>
    <n v="213"/>
    <n v="56.49867374005305"/>
  </r>
  <r>
    <x v="8"/>
    <x v="5"/>
    <n v="726"/>
    <n v="3.4834710743801653"/>
    <n v="42.561983471074385"/>
    <n v="417"/>
    <n v="57.438016528925615"/>
  </r>
  <r>
    <x v="8"/>
    <x v="6"/>
    <n v="118"/>
    <n v="3.4830508474576272"/>
    <n v="40.677966101694921"/>
    <n v="70"/>
    <n v="59.322033898305079"/>
  </r>
  <r>
    <x v="8"/>
    <x v="7"/>
    <n v="508"/>
    <n v="3.5393700787401574"/>
    <n v="38.779527559055119"/>
    <n v="311"/>
    <n v="61.220472440944881"/>
  </r>
  <r>
    <x v="8"/>
    <x v="8"/>
    <n v="11"/>
    <n v="3.4545454545454546"/>
    <n v="54.54545454545454"/>
    <n v="5"/>
    <n v="45.454545454545453"/>
  </r>
  <r>
    <x v="8"/>
    <x v="9"/>
    <n v="41"/>
    <n v="3.6585365853658538"/>
    <n v="56.09756097560976"/>
    <n v="18"/>
    <n v="43.902439024390247"/>
  </r>
  <r>
    <x v="8"/>
    <x v="10"/>
    <n v="7"/>
    <n v="4.5714285714285712"/>
    <n v="28.571428571428569"/>
    <n v="5"/>
    <n v="71.428571428571431"/>
  </r>
  <r>
    <x v="8"/>
    <x v="11"/>
    <n v="49"/>
    <n v="3.6326530612244898"/>
    <n v="40.816326530612244"/>
    <n v="29"/>
    <n v="59.183673469387756"/>
  </r>
  <r>
    <x v="8"/>
    <x v="12"/>
    <n v="29"/>
    <n v="3.6896551724137931"/>
    <n v="34.482758620689658"/>
    <n v="19"/>
    <n v="65.517241379310349"/>
  </r>
  <r>
    <x v="8"/>
    <x v="13"/>
    <n v="7"/>
    <n v="3"/>
    <n v="42.857142857142854"/>
    <n v="4"/>
    <n v="57.142857142857139"/>
  </r>
  <r>
    <x v="8"/>
    <x v="14"/>
    <n v="19"/>
    <n v="4.1578947368421053"/>
    <n v="52.631578947368418"/>
    <n v="9"/>
    <n v="47.368421052631575"/>
  </r>
  <r>
    <x v="8"/>
    <x v="15"/>
    <n v="12"/>
    <n v="3.75"/>
    <n v="50"/>
    <n v="6"/>
    <n v="50"/>
  </r>
  <r>
    <x v="8"/>
    <x v="16"/>
    <n v="579"/>
    <n v="3.5803108808290154"/>
    <n v="40.069084628670119"/>
    <n v="347"/>
    <n v="59.930915371329874"/>
  </r>
  <r>
    <x v="8"/>
    <x v="17"/>
    <n v="7"/>
    <n v="4"/>
    <n v="42.857142857142854"/>
    <n v="4"/>
    <n v="57.142857142857139"/>
  </r>
  <r>
    <x v="8"/>
    <x v="18"/>
    <n v="678"/>
    <n v="3.5073746312684366"/>
    <n v="41.150442477876105"/>
    <n v="399"/>
    <n v="58.849557522123895"/>
  </r>
  <r>
    <x v="8"/>
    <x v="19"/>
    <n v="335"/>
    <n v="3.4656716417910447"/>
    <n v="44.477611940298509"/>
    <n v="186"/>
    <n v="55.522388059701491"/>
  </r>
  <r>
    <x v="8"/>
    <x v="20"/>
    <n v="13"/>
    <n v="3.7692307692307692"/>
    <n v="38.461538461538467"/>
    <n v="8"/>
    <n v="61.53846153846154"/>
  </r>
  <r>
    <x v="8"/>
    <x v="21"/>
    <n v="23"/>
    <n v="3.7826086956521738"/>
    <n v="56.521739130434781"/>
    <n v="10"/>
    <n v="43.478260869565219"/>
  </r>
  <r>
    <x v="8"/>
    <x v="22"/>
    <n v="436"/>
    <n v="3.5665137614678901"/>
    <n v="40.596330275229356"/>
    <n v="259"/>
    <n v="59.403669724770644"/>
  </r>
  <r>
    <x v="8"/>
    <x v="23"/>
    <n v="634"/>
    <n v="3.4873817034700316"/>
    <n v="46.214511041009466"/>
    <n v="341"/>
    <n v="53.785488958990534"/>
  </r>
  <r>
    <x v="9"/>
    <x v="0"/>
    <n v="67"/>
    <n v="3.3582089552238807"/>
    <n v="40.298507462686565"/>
    <n v="40"/>
    <n v="59.701492537313428"/>
  </r>
  <r>
    <x v="9"/>
    <x v="1"/>
    <n v="14"/>
    <n v="2.5714285714285716"/>
    <n v="57.142857142857139"/>
    <n v="6"/>
    <n v="42.857142857142854"/>
  </r>
  <r>
    <x v="9"/>
    <x v="2"/>
    <n v="13"/>
    <n v="3.5384615384615383"/>
    <n v="46.153846153846153"/>
    <n v="7"/>
    <n v="53.846153846153847"/>
  </r>
  <r>
    <x v="9"/>
    <x v="3"/>
    <n v="428"/>
    <n v="3.52803738317757"/>
    <n v="47.663551401869157"/>
    <n v="224"/>
    <n v="52.336448598130836"/>
  </r>
  <r>
    <x v="9"/>
    <x v="4"/>
    <n v="415"/>
    <n v="3.2313253012048193"/>
    <n v="48.433734939759034"/>
    <n v="214"/>
    <n v="51.566265060240966"/>
  </r>
  <r>
    <x v="9"/>
    <x v="5"/>
    <n v="732"/>
    <n v="3.4153005464480874"/>
    <n v="46.038251366120221"/>
    <n v="395"/>
    <n v="53.961748633879779"/>
  </r>
  <r>
    <x v="9"/>
    <x v="6"/>
    <n v="101"/>
    <n v="3.6930693069306932"/>
    <n v="33.663366336633665"/>
    <n v="67"/>
    <n v="66.336633663366342"/>
  </r>
  <r>
    <x v="9"/>
    <x v="7"/>
    <n v="524"/>
    <n v="3.4522900763358777"/>
    <n v="45.038167938931295"/>
    <n v="288"/>
    <n v="54.961832061068705"/>
  </r>
  <r>
    <x v="9"/>
    <x v="8"/>
    <n v="16"/>
    <n v="4.625"/>
    <n v="31.25"/>
    <n v="11"/>
    <n v="68.75"/>
  </r>
  <r>
    <x v="9"/>
    <x v="9"/>
    <n v="55"/>
    <n v="3.3454545454545452"/>
    <n v="40"/>
    <n v="33"/>
    <n v="60"/>
  </r>
  <r>
    <x v="9"/>
    <x v="10"/>
    <n v="9"/>
    <n v="3.1111111111111112"/>
    <n v="77.777777777777786"/>
    <n v="2"/>
    <n v="22.222222222222221"/>
  </r>
  <r>
    <x v="9"/>
    <x v="11"/>
    <n v="59"/>
    <n v="3.5762711864406778"/>
    <n v="47.457627118644069"/>
    <n v="31"/>
    <n v="52.542372881355938"/>
  </r>
  <r>
    <x v="9"/>
    <x v="12"/>
    <n v="22"/>
    <n v="3.1818181818181817"/>
    <n v="54.54545454545454"/>
    <n v="10"/>
    <n v="45.454545454545453"/>
  </r>
  <r>
    <x v="9"/>
    <x v="13"/>
    <n v="11"/>
    <n v="3.3636363636363638"/>
    <n v="45.454545454545453"/>
    <n v="6"/>
    <n v="54.54545454545454"/>
  </r>
  <r>
    <x v="9"/>
    <x v="14"/>
    <n v="21"/>
    <n v="3.3809523809523809"/>
    <n v="47.619047619047613"/>
    <n v="11"/>
    <n v="52.380952380952387"/>
  </r>
  <r>
    <x v="9"/>
    <x v="15"/>
    <n v="8"/>
    <n v="3"/>
    <n v="50"/>
    <n v="4"/>
    <n v="50"/>
  </r>
  <r>
    <x v="9"/>
    <x v="16"/>
    <n v="594"/>
    <n v="3.4427609427609429"/>
    <n v="47.979797979797979"/>
    <n v="309"/>
    <n v="52.020202020202021"/>
  </r>
  <r>
    <x v="9"/>
    <x v="17"/>
    <n v="14"/>
    <n v="3.6428571428571428"/>
    <n v="35.714285714285715"/>
    <n v="9"/>
    <n v="64.285714285714292"/>
  </r>
  <r>
    <x v="9"/>
    <x v="18"/>
    <n v="677"/>
    <n v="3.4268833087149186"/>
    <n v="47.119645494830131"/>
    <n v="358"/>
    <n v="52.880354505169869"/>
  </r>
  <r>
    <x v="9"/>
    <x v="19"/>
    <n v="351"/>
    <n v="3.5726495726495728"/>
    <n v="40.74074074074074"/>
    <n v="208"/>
    <n v="59.259259259259252"/>
  </r>
  <r>
    <x v="9"/>
    <x v="20"/>
    <n v="9"/>
    <n v="3.4444444444444446"/>
    <n v="55.555555555555557"/>
    <n v="4"/>
    <n v="44.444444444444443"/>
  </r>
  <r>
    <x v="9"/>
    <x v="21"/>
    <n v="25"/>
    <n v="3.4"/>
    <n v="40"/>
    <n v="15"/>
    <n v="60"/>
  </r>
  <r>
    <x v="9"/>
    <x v="22"/>
    <n v="484"/>
    <n v="3.4132231404958677"/>
    <n v="46.280991735537192"/>
    <n v="260"/>
    <n v="53.719008264462808"/>
  </r>
  <r>
    <x v="9"/>
    <x v="23"/>
    <n v="653"/>
    <n v="3.4992343032159265"/>
    <n v="45.176110260336905"/>
    <n v="358"/>
    <n v="54.823889739663088"/>
  </r>
  <r>
    <x v="10"/>
    <x v="0"/>
    <n v="74"/>
    <n v="3.6486486486486487"/>
    <n v="35.135135135135137"/>
    <n v="48"/>
    <n v="64.86486486486487"/>
  </r>
  <r>
    <x v="10"/>
    <x v="1"/>
    <n v="19"/>
    <n v="4.0526315789473681"/>
    <n v="42.105263157894733"/>
    <n v="11"/>
    <n v="57.894736842105267"/>
  </r>
  <r>
    <x v="10"/>
    <x v="2"/>
    <n v="11"/>
    <n v="4.2727272727272725"/>
    <n v="36.363636363636367"/>
    <n v="7"/>
    <n v="63.636363636363633"/>
  </r>
  <r>
    <x v="10"/>
    <x v="3"/>
    <n v="430"/>
    <n v="3.5627906976744188"/>
    <n v="42.558139534883722"/>
    <n v="247"/>
    <n v="57.441860465116278"/>
  </r>
  <r>
    <x v="10"/>
    <x v="4"/>
    <n v="367"/>
    <n v="3.4550408719346049"/>
    <n v="46.866485013623979"/>
    <n v="195"/>
    <n v="53.133514986376021"/>
  </r>
  <r>
    <x v="10"/>
    <x v="5"/>
    <n v="733"/>
    <n v="3.499317871759891"/>
    <n v="46.1118690313779"/>
    <n v="395"/>
    <n v="53.888130968622107"/>
  </r>
  <r>
    <x v="10"/>
    <x v="6"/>
    <n v="137"/>
    <n v="3.7372262773722627"/>
    <n v="37.956204379562038"/>
    <n v="85"/>
    <n v="62.043795620437962"/>
  </r>
  <r>
    <x v="10"/>
    <x v="7"/>
    <n v="539"/>
    <n v="3.5714285714285716"/>
    <n v="44.155844155844157"/>
    <n v="301"/>
    <n v="55.844155844155843"/>
  </r>
  <r>
    <x v="10"/>
    <x v="8"/>
    <n v="15"/>
    <n v="3.6666666666666665"/>
    <n v="40"/>
    <n v="9"/>
    <n v="60"/>
  </r>
  <r>
    <x v="10"/>
    <x v="9"/>
    <n v="36"/>
    <n v="3.1944444444444446"/>
    <n v="47.222222222222221"/>
    <n v="19"/>
    <n v="52.777777777777779"/>
  </r>
  <r>
    <x v="10"/>
    <x v="10"/>
    <n v="12"/>
    <n v="4.416666666666667"/>
    <n v="25"/>
    <n v="9"/>
    <n v="75"/>
  </r>
  <r>
    <x v="10"/>
    <x v="11"/>
    <n v="60"/>
    <n v="3.55"/>
    <n v="40"/>
    <n v="36"/>
    <n v="60"/>
  </r>
  <r>
    <x v="10"/>
    <x v="12"/>
    <n v="44"/>
    <n v="3.5681818181818183"/>
    <n v="47.727272727272727"/>
    <n v="23"/>
    <n v="52.272727272727273"/>
  </r>
  <r>
    <x v="10"/>
    <x v="13"/>
    <n v="9"/>
    <n v="3.8888888888888888"/>
    <n v="22.222222222222221"/>
    <n v="7"/>
    <n v="77.777777777777786"/>
  </r>
  <r>
    <x v="10"/>
    <x v="14"/>
    <n v="20"/>
    <n v="3.7"/>
    <n v="40"/>
    <n v="12"/>
    <n v="60"/>
  </r>
  <r>
    <x v="10"/>
    <x v="15"/>
    <n v="16"/>
    <n v="3.6875"/>
    <n v="50"/>
    <n v="8"/>
    <n v="50"/>
  </r>
  <r>
    <x v="10"/>
    <x v="16"/>
    <n v="601"/>
    <n v="3.415973377703827"/>
    <n v="46.422628951747086"/>
    <n v="322"/>
    <n v="53.577371048252907"/>
  </r>
  <r>
    <x v="10"/>
    <x v="17"/>
    <n v="6"/>
    <n v="3.8333333333333335"/>
    <n v="16.666666666666664"/>
    <n v="5"/>
    <n v="83.333333333333343"/>
  </r>
  <r>
    <x v="10"/>
    <x v="18"/>
    <n v="661"/>
    <n v="3.4478063540090771"/>
    <n v="47.049924357034797"/>
    <n v="350"/>
    <n v="52.950075642965203"/>
  </r>
  <r>
    <x v="10"/>
    <x v="19"/>
    <n v="356"/>
    <n v="3.5"/>
    <n v="46.348314606741575"/>
    <n v="191"/>
    <n v="53.651685393258433"/>
  </r>
  <r>
    <x v="10"/>
    <x v="20"/>
    <n v="10"/>
    <n v="3.3"/>
    <n v="60"/>
    <n v="4"/>
    <n v="40"/>
  </r>
  <r>
    <x v="10"/>
    <x v="21"/>
    <n v="33"/>
    <n v="3.2424242424242422"/>
    <n v="60.606060606060609"/>
    <n v="13"/>
    <n v="39.393939393939391"/>
  </r>
  <r>
    <x v="10"/>
    <x v="22"/>
    <n v="464"/>
    <n v="3.4978448275862069"/>
    <n v="45.258620689655174"/>
    <n v="254"/>
    <n v="54.741379310344826"/>
  </r>
  <r>
    <x v="10"/>
    <x v="23"/>
    <n v="582"/>
    <n v="3.3470790378006874"/>
    <n v="49.656357388316152"/>
    <n v="293"/>
    <n v="50.343642611683848"/>
  </r>
  <r>
    <x v="11"/>
    <x v="0"/>
    <n v="60"/>
    <n v="3.5"/>
    <n v="40"/>
    <n v="36"/>
    <n v="60"/>
  </r>
  <r>
    <x v="11"/>
    <x v="1"/>
    <n v="25"/>
    <n v="2.68"/>
    <n v="72"/>
    <n v="7"/>
    <n v="28.000000000000004"/>
  </r>
  <r>
    <x v="11"/>
    <x v="2"/>
    <n v="13"/>
    <n v="3.3076923076923075"/>
    <n v="46.153846153846153"/>
    <n v="7"/>
    <n v="53.846153846153847"/>
  </r>
  <r>
    <x v="11"/>
    <x v="3"/>
    <n v="389"/>
    <n v="3.5552699228791775"/>
    <n v="43.70179948586118"/>
    <n v="219"/>
    <n v="56.29820051413882"/>
  </r>
  <r>
    <x v="11"/>
    <x v="4"/>
    <n v="375"/>
    <n v="3.2506666666666666"/>
    <n v="48.266666666666666"/>
    <n v="194"/>
    <n v="51.733333333333334"/>
  </r>
  <r>
    <x v="11"/>
    <x v="5"/>
    <n v="742"/>
    <n v="3.4299191374663072"/>
    <n v="42.991913746630729"/>
    <n v="423"/>
    <n v="57.008086253369271"/>
  </r>
  <r>
    <x v="11"/>
    <x v="6"/>
    <n v="140"/>
    <n v="3.3357142857142859"/>
    <n v="44.285714285714285"/>
    <n v="78"/>
    <n v="55.714285714285715"/>
  </r>
  <r>
    <x v="11"/>
    <x v="7"/>
    <n v="560"/>
    <n v="3.4946428571428569"/>
    <n v="43.928571428571431"/>
    <n v="314"/>
    <n v="56.071428571428569"/>
  </r>
  <r>
    <x v="11"/>
    <x v="8"/>
    <n v="11"/>
    <n v="3.4545454545454546"/>
    <n v="63.636363636363633"/>
    <n v="4"/>
    <n v="36.363636363636367"/>
  </r>
  <r>
    <x v="11"/>
    <x v="9"/>
    <n v="43"/>
    <n v="3.4186046511627906"/>
    <n v="30.232558139534881"/>
    <n v="30"/>
    <n v="69.767441860465112"/>
  </r>
  <r>
    <x v="11"/>
    <x v="10"/>
    <n v="14"/>
    <n v="3.1428571428571428"/>
    <n v="57.142857142857139"/>
    <n v="6"/>
    <n v="42.857142857142854"/>
  </r>
  <r>
    <x v="11"/>
    <x v="11"/>
    <n v="56"/>
    <n v="3.3214285714285716"/>
    <n v="50"/>
    <n v="28"/>
    <n v="50"/>
  </r>
  <r>
    <x v="11"/>
    <x v="12"/>
    <n v="27"/>
    <n v="3.2222222222222223"/>
    <n v="55.555555555555557"/>
    <n v="12"/>
    <n v="44.444444444444443"/>
  </r>
  <r>
    <x v="11"/>
    <x v="13"/>
    <n v="12"/>
    <n v="4.083333333333333"/>
    <n v="33.333333333333329"/>
    <n v="8"/>
    <n v="66.666666666666657"/>
  </r>
  <r>
    <x v="11"/>
    <x v="14"/>
    <n v="29"/>
    <n v="3.4827586206896552"/>
    <n v="34.482758620689658"/>
    <n v="19"/>
    <n v="65.517241379310349"/>
  </r>
  <r>
    <x v="11"/>
    <x v="15"/>
    <n v="7"/>
    <n v="4"/>
    <n v="28.571428571428569"/>
    <n v="5"/>
    <n v="71.428571428571431"/>
  </r>
  <r>
    <x v="11"/>
    <x v="16"/>
    <n v="628"/>
    <n v="3.3519108280254777"/>
    <n v="50"/>
    <n v="314"/>
    <n v="50"/>
  </r>
  <r>
    <x v="11"/>
    <x v="17"/>
    <n v="10"/>
    <n v="3.2"/>
    <n v="20"/>
    <n v="8"/>
    <n v="80"/>
  </r>
  <r>
    <x v="11"/>
    <x v="18"/>
    <n v="721"/>
    <n v="3.4493758668515948"/>
    <n v="44.382801664355064"/>
    <n v="401"/>
    <n v="55.617198335644936"/>
  </r>
  <r>
    <x v="11"/>
    <x v="19"/>
    <n v="348"/>
    <n v="3.4339080459770117"/>
    <n v="47.126436781609193"/>
    <n v="184"/>
    <n v="52.873563218390807"/>
  </r>
  <r>
    <x v="11"/>
    <x v="20"/>
    <n v="14"/>
    <n v="4"/>
    <n v="42.857142857142854"/>
    <n v="8"/>
    <n v="57.142857142857139"/>
  </r>
  <r>
    <x v="11"/>
    <x v="21"/>
    <n v="40"/>
    <n v="3.6"/>
    <n v="42.5"/>
    <n v="23"/>
    <n v="57.499999999999993"/>
  </r>
  <r>
    <x v="11"/>
    <x v="22"/>
    <n v="498"/>
    <n v="3.4698795180722892"/>
    <n v="42.570281124497996"/>
    <n v="286"/>
    <n v="57.429718875502012"/>
  </r>
  <r>
    <x v="11"/>
    <x v="23"/>
    <n v="609"/>
    <n v="3.5582922824302137"/>
    <n v="44.006568144499184"/>
    <n v="341"/>
    <n v="55.993431855500816"/>
  </r>
  <r>
    <x v="12"/>
    <x v="0"/>
    <n v="64"/>
    <n v="2.9375"/>
    <n v="42.1875"/>
    <n v="37"/>
    <n v="57.8125"/>
  </r>
  <r>
    <x v="12"/>
    <x v="1"/>
    <n v="16"/>
    <n v="3.75"/>
    <n v="37.5"/>
    <n v="10"/>
    <n v="62.5"/>
  </r>
  <r>
    <x v="12"/>
    <x v="2"/>
    <n v="10"/>
    <n v="4"/>
    <n v="50"/>
    <n v="5"/>
    <n v="50"/>
  </r>
  <r>
    <x v="12"/>
    <x v="3"/>
    <n v="416"/>
    <n v="3.4855769230769229"/>
    <n v="41.82692307692308"/>
    <n v="242"/>
    <n v="58.173076923076927"/>
  </r>
  <r>
    <x v="12"/>
    <x v="4"/>
    <n v="402"/>
    <n v="3.5920398009950247"/>
    <n v="41.293532338308459"/>
    <n v="236"/>
    <n v="58.706467661691541"/>
  </r>
  <r>
    <x v="12"/>
    <x v="5"/>
    <n v="748"/>
    <n v="3.5454545454545454"/>
    <n v="44.385026737967912"/>
    <n v="416"/>
    <n v="55.614973262032088"/>
  </r>
  <r>
    <x v="12"/>
    <x v="6"/>
    <n v="108"/>
    <n v="3.25"/>
    <n v="46.296296296296298"/>
    <n v="58"/>
    <n v="53.703703703703709"/>
  </r>
  <r>
    <x v="12"/>
    <x v="7"/>
    <n v="553"/>
    <n v="3.3381555153707052"/>
    <n v="49.186256781193485"/>
    <n v="281"/>
    <n v="50.813743218806508"/>
  </r>
  <r>
    <x v="12"/>
    <x v="8"/>
    <n v="14"/>
    <n v="4.2142857142857144"/>
    <n v="7.1428571428571423"/>
    <n v="13"/>
    <n v="92.857142857142861"/>
  </r>
  <r>
    <x v="12"/>
    <x v="9"/>
    <n v="31"/>
    <n v="4"/>
    <n v="38.70967741935484"/>
    <n v="19"/>
    <n v="61.29032258064516"/>
  </r>
  <r>
    <x v="12"/>
    <x v="10"/>
    <n v="9"/>
    <n v="3.4444444444444446"/>
    <n v="44.444444444444443"/>
    <n v="5"/>
    <n v="55.555555555555557"/>
  </r>
  <r>
    <x v="12"/>
    <x v="11"/>
    <n v="63"/>
    <n v="3.5079365079365079"/>
    <n v="38.095238095238095"/>
    <n v="39"/>
    <n v="61.904761904761905"/>
  </r>
  <r>
    <x v="12"/>
    <x v="12"/>
    <n v="23"/>
    <n v="3.652173913043478"/>
    <n v="34.782608695652172"/>
    <n v="15"/>
    <n v="65.217391304347828"/>
  </r>
  <r>
    <x v="12"/>
    <x v="13"/>
    <n v="7"/>
    <n v="3.4285714285714284"/>
    <n v="42.857142857142854"/>
    <n v="4"/>
    <n v="57.142857142857139"/>
  </r>
  <r>
    <x v="12"/>
    <x v="14"/>
    <n v="28"/>
    <n v="3.8571428571428572"/>
    <n v="32.142857142857146"/>
    <n v="19"/>
    <n v="67.857142857142861"/>
  </r>
  <r>
    <x v="12"/>
    <x v="15"/>
    <n v="9"/>
    <n v="3.7777777777777777"/>
    <n v="22.222222222222221"/>
    <n v="7"/>
    <n v="77.777777777777786"/>
  </r>
  <r>
    <x v="12"/>
    <x v="16"/>
    <n v="607"/>
    <n v="3.4382207578253707"/>
    <n v="47.44645799011532"/>
    <n v="319"/>
    <n v="52.55354200988468"/>
  </r>
  <r>
    <x v="12"/>
    <x v="17"/>
    <n v="5"/>
    <n v="4"/>
    <n v="60"/>
    <n v="2"/>
    <n v="40"/>
  </r>
  <r>
    <x v="12"/>
    <x v="18"/>
    <n v="683"/>
    <n v="3.3923865300146412"/>
    <n v="48.755490483162518"/>
    <n v="350"/>
    <n v="51.244509516837475"/>
  </r>
  <r>
    <x v="12"/>
    <x v="19"/>
    <n v="326"/>
    <n v="3.5276073619631902"/>
    <n v="44.785276073619634"/>
    <n v="180"/>
    <n v="55.214723926380373"/>
  </r>
  <r>
    <x v="12"/>
    <x v="20"/>
    <n v="9"/>
    <n v="3.1111111111111112"/>
    <n v="44.444444444444443"/>
    <n v="5"/>
    <n v="55.555555555555557"/>
  </r>
  <r>
    <x v="12"/>
    <x v="21"/>
    <n v="34"/>
    <n v="3.0588235294117645"/>
    <n v="55.882352941176471"/>
    <n v="15"/>
    <n v="44.117647058823529"/>
  </r>
  <r>
    <x v="12"/>
    <x v="22"/>
    <n v="454"/>
    <n v="3.4008810572687223"/>
    <n v="44.493392070484582"/>
    <n v="252"/>
    <n v="55.506607929515418"/>
  </r>
  <r>
    <x v="12"/>
    <x v="23"/>
    <n v="698"/>
    <n v="3.4040114613180514"/>
    <n v="43.839541547277939"/>
    <n v="392"/>
    <n v="56.160458452722061"/>
  </r>
  <r>
    <x v="13"/>
    <x v="0"/>
    <n v="59"/>
    <n v="3.4406779661016951"/>
    <n v="45.762711864406782"/>
    <n v="32"/>
    <n v="54.237288135593218"/>
  </r>
  <r>
    <x v="13"/>
    <x v="1"/>
    <n v="20"/>
    <n v="4.75"/>
    <n v="25"/>
    <n v="15"/>
    <n v="75"/>
  </r>
  <r>
    <x v="13"/>
    <x v="2"/>
    <n v="10"/>
    <n v="3.8"/>
    <n v="50"/>
    <n v="5"/>
    <n v="50"/>
  </r>
  <r>
    <x v="13"/>
    <x v="3"/>
    <n v="383"/>
    <n v="3.6475195822454309"/>
    <n v="44.386422976501308"/>
    <n v="213"/>
    <n v="55.613577023498692"/>
  </r>
  <r>
    <x v="13"/>
    <x v="4"/>
    <n v="355"/>
    <n v="3.5887323943661973"/>
    <n v="41.12676056338028"/>
    <n v="209"/>
    <n v="58.87323943661972"/>
  </r>
  <r>
    <x v="13"/>
    <x v="5"/>
    <n v="674"/>
    <n v="3.4777448071216619"/>
    <n v="44.658753709198812"/>
    <n v="373"/>
    <n v="55.34124629080118"/>
  </r>
  <r>
    <x v="13"/>
    <x v="6"/>
    <n v="116"/>
    <n v="3.5517241379310347"/>
    <n v="44.827586206896555"/>
    <n v="64"/>
    <n v="55.172413793103445"/>
  </r>
  <r>
    <x v="13"/>
    <x v="7"/>
    <n v="518"/>
    <n v="3.611969111969112"/>
    <n v="45.752895752895753"/>
    <n v="281"/>
    <n v="54.247104247104247"/>
  </r>
  <r>
    <x v="13"/>
    <x v="8"/>
    <n v="8"/>
    <n v="3"/>
    <n v="62.5"/>
    <n v="3"/>
    <n v="37.5"/>
  </r>
  <r>
    <x v="13"/>
    <x v="9"/>
    <n v="49"/>
    <n v="3.5510204081632653"/>
    <n v="55.102040816326522"/>
    <n v="22"/>
    <n v="44.897959183673471"/>
  </r>
  <r>
    <x v="13"/>
    <x v="10"/>
    <n v="9"/>
    <n v="2.6666666666666665"/>
    <n v="66.666666666666657"/>
    <n v="3"/>
    <n v="33.333333333333329"/>
  </r>
  <r>
    <x v="13"/>
    <x v="11"/>
    <n v="58"/>
    <n v="3.3103448275862069"/>
    <n v="53.448275862068961"/>
    <n v="27"/>
    <n v="46.551724137931032"/>
  </r>
  <r>
    <x v="13"/>
    <x v="12"/>
    <n v="30"/>
    <n v="3.5666666666666669"/>
    <n v="50"/>
    <n v="15"/>
    <n v="50"/>
  </r>
  <r>
    <x v="13"/>
    <x v="13"/>
    <n v="10"/>
    <n v="2.9"/>
    <n v="40"/>
    <n v="6"/>
    <n v="60"/>
  </r>
  <r>
    <x v="13"/>
    <x v="14"/>
    <n v="14"/>
    <n v="3.9285714285714284"/>
    <n v="42.857142857142854"/>
    <n v="8"/>
    <n v="57.142857142857139"/>
  </r>
  <r>
    <x v="13"/>
    <x v="15"/>
    <n v="11"/>
    <n v="3.0909090909090908"/>
    <n v="45.454545454545453"/>
    <n v="6"/>
    <n v="54.54545454545454"/>
  </r>
  <r>
    <x v="13"/>
    <x v="16"/>
    <n v="573"/>
    <n v="3.4572425828970332"/>
    <n v="48.865619546247821"/>
    <n v="293"/>
    <n v="51.134380453752179"/>
  </r>
  <r>
    <x v="13"/>
    <x v="17"/>
    <n v="7"/>
    <n v="4.2857142857142856"/>
    <n v="57.142857142857139"/>
    <n v="3"/>
    <n v="42.857142857142854"/>
  </r>
  <r>
    <x v="13"/>
    <x v="18"/>
    <n v="635"/>
    <n v="3.5496062992125985"/>
    <n v="45.826771653543311"/>
    <n v="344"/>
    <n v="54.173228346456689"/>
  </r>
  <r>
    <x v="13"/>
    <x v="19"/>
    <n v="300"/>
    <n v="3.4833333333333334"/>
    <n v="41.666666666666671"/>
    <n v="175"/>
    <n v="58.333333333333336"/>
  </r>
  <r>
    <x v="13"/>
    <x v="20"/>
    <n v="13"/>
    <n v="3.4615384615384617"/>
    <n v="69.230769230769226"/>
    <n v="4"/>
    <n v="30.76923076923077"/>
  </r>
  <r>
    <x v="13"/>
    <x v="21"/>
    <n v="31"/>
    <n v="3.3548387096774195"/>
    <n v="48.387096774193552"/>
    <n v="16"/>
    <n v="51.612903225806448"/>
  </r>
  <r>
    <x v="13"/>
    <x v="22"/>
    <n v="428"/>
    <n v="3.5397196261682242"/>
    <n v="46.028037383177569"/>
    <n v="231"/>
    <n v="53.971962616822431"/>
  </r>
  <r>
    <x v="13"/>
    <x v="23"/>
    <n v="583"/>
    <n v="3.6072041166380791"/>
    <n v="43.739279588336196"/>
    <n v="328"/>
    <n v="56.260720411663812"/>
  </r>
  <r>
    <x v="14"/>
    <x v="0"/>
    <n v="63"/>
    <n v="3.0793650793650795"/>
    <n v="52.380952380952387"/>
    <n v="30"/>
    <n v="47.619047619047613"/>
  </r>
  <r>
    <x v="14"/>
    <x v="1"/>
    <n v="20"/>
    <n v="3.55"/>
    <n v="40"/>
    <n v="12"/>
    <n v="60"/>
  </r>
  <r>
    <x v="14"/>
    <x v="2"/>
    <n v="8"/>
    <n v="3.5"/>
    <n v="50"/>
    <n v="4"/>
    <n v="50"/>
  </r>
  <r>
    <x v="14"/>
    <x v="3"/>
    <n v="433"/>
    <n v="3.5242494226327943"/>
    <n v="44.803695150115473"/>
    <n v="239"/>
    <n v="55.196304849884527"/>
  </r>
  <r>
    <x v="14"/>
    <x v="4"/>
    <n v="366"/>
    <n v="3.4398907103825138"/>
    <n v="44.808743169398909"/>
    <n v="202"/>
    <n v="55.191256830601091"/>
  </r>
  <r>
    <x v="14"/>
    <x v="5"/>
    <n v="798"/>
    <n v="3.4636591478696741"/>
    <n v="42.105263157894733"/>
    <n v="462"/>
    <n v="57.894736842105267"/>
  </r>
  <r>
    <x v="14"/>
    <x v="6"/>
    <n v="105"/>
    <n v="3.676190476190476"/>
    <n v="40.952380952380949"/>
    <n v="62"/>
    <n v="59.047619047619051"/>
  </r>
  <r>
    <x v="14"/>
    <x v="7"/>
    <n v="528"/>
    <n v="3.375"/>
    <n v="50"/>
    <n v="264"/>
    <n v="50"/>
  </r>
  <r>
    <x v="14"/>
    <x v="8"/>
    <n v="10"/>
    <n v="3.9"/>
    <n v="50"/>
    <n v="5"/>
    <n v="50"/>
  </r>
  <r>
    <x v="14"/>
    <x v="9"/>
    <n v="45"/>
    <n v="3.6222222222222222"/>
    <n v="44.444444444444443"/>
    <n v="25"/>
    <n v="55.555555555555557"/>
  </r>
  <r>
    <x v="14"/>
    <x v="10"/>
    <n v="8"/>
    <n v="3.125"/>
    <n v="62.5"/>
    <n v="3"/>
    <n v="37.5"/>
  </r>
  <r>
    <x v="14"/>
    <x v="11"/>
    <n v="39"/>
    <n v="3.4871794871794872"/>
    <n v="51.282051282051277"/>
    <n v="19"/>
    <n v="48.717948717948715"/>
  </r>
  <r>
    <x v="14"/>
    <x v="12"/>
    <n v="37"/>
    <n v="3.4594594594594597"/>
    <n v="40.54054054054054"/>
    <n v="22"/>
    <n v="59.45945945945946"/>
  </r>
  <r>
    <x v="14"/>
    <x v="13"/>
    <n v="8"/>
    <n v="4"/>
    <n v="0"/>
    <n v="8"/>
    <n v="100"/>
  </r>
  <r>
    <x v="14"/>
    <x v="14"/>
    <n v="21"/>
    <n v="3.6666666666666665"/>
    <n v="23.809523809523807"/>
    <n v="16"/>
    <n v="76.19047619047619"/>
  </r>
  <r>
    <x v="14"/>
    <x v="15"/>
    <n v="12"/>
    <n v="3"/>
    <n v="50"/>
    <n v="6"/>
    <n v="50"/>
  </r>
  <r>
    <x v="14"/>
    <x v="16"/>
    <n v="574"/>
    <n v="3.3292682926829267"/>
    <n v="47.21254355400697"/>
    <n v="303"/>
    <n v="52.78745644599303"/>
  </r>
  <r>
    <x v="14"/>
    <x v="17"/>
    <n v="12"/>
    <n v="3.9166666666666665"/>
    <n v="25"/>
    <n v="9"/>
    <n v="75"/>
  </r>
  <r>
    <x v="14"/>
    <x v="18"/>
    <n v="675"/>
    <n v="3.4725925925925925"/>
    <n v="46.370370370370374"/>
    <n v="362"/>
    <n v="53.629629629629626"/>
  </r>
  <r>
    <x v="14"/>
    <x v="19"/>
    <n v="323"/>
    <n v="3.4613003095975232"/>
    <n v="41.17647058823529"/>
    <n v="190"/>
    <n v="58.82352941176471"/>
  </r>
  <r>
    <x v="14"/>
    <x v="20"/>
    <n v="12"/>
    <n v="3.5"/>
    <n v="33.333333333333329"/>
    <n v="8"/>
    <n v="66.666666666666657"/>
  </r>
  <r>
    <x v="14"/>
    <x v="21"/>
    <n v="43"/>
    <n v="3.3255813953488373"/>
    <n v="55.813953488372093"/>
    <n v="19"/>
    <n v="44.186046511627907"/>
  </r>
  <r>
    <x v="14"/>
    <x v="22"/>
    <n v="453"/>
    <n v="3.5386313465783665"/>
    <n v="42.384105960264904"/>
    <n v="261"/>
    <n v="57.615894039735096"/>
  </r>
  <r>
    <x v="14"/>
    <x v="23"/>
    <n v="617"/>
    <n v="3.3905996758508916"/>
    <n v="44.732576985413289"/>
    <n v="341"/>
    <n v="55.267423014586711"/>
  </r>
  <r>
    <x v="15"/>
    <x v="0"/>
    <n v="79"/>
    <n v="3.4303797468354431"/>
    <n v="46.835443037974684"/>
    <n v="42"/>
    <n v="53.164556962025308"/>
  </r>
  <r>
    <x v="15"/>
    <x v="1"/>
    <n v="24"/>
    <n v="3.375"/>
    <n v="58.333333333333336"/>
    <n v="10"/>
    <n v="41.666666666666671"/>
  </r>
  <r>
    <x v="15"/>
    <x v="2"/>
    <n v="5"/>
    <n v="4"/>
    <n v="40"/>
    <n v="3"/>
    <n v="60"/>
  </r>
  <r>
    <x v="15"/>
    <x v="3"/>
    <n v="384"/>
    <n v="3.515625"/>
    <n v="50.78125"/>
    <n v="189"/>
    <n v="49.21875"/>
  </r>
  <r>
    <x v="15"/>
    <x v="4"/>
    <n v="362"/>
    <n v="3.5580110497237567"/>
    <n v="44.475138121546962"/>
    <n v="201"/>
    <n v="55.524861878453038"/>
  </r>
  <r>
    <x v="15"/>
    <x v="5"/>
    <n v="739"/>
    <n v="3.5656292286874156"/>
    <n v="45.87280108254398"/>
    <n v="400"/>
    <n v="54.12719891745602"/>
  </r>
  <r>
    <x v="15"/>
    <x v="6"/>
    <n v="92"/>
    <n v="3.2282608695652173"/>
    <n v="50"/>
    <n v="46"/>
    <n v="50"/>
  </r>
  <r>
    <x v="15"/>
    <x v="7"/>
    <n v="527"/>
    <n v="3.5901328273244784"/>
    <n v="44.971537001897531"/>
    <n v="290"/>
    <n v="55.028462998102469"/>
  </r>
  <r>
    <x v="15"/>
    <x v="8"/>
    <n v="10"/>
    <n v="4.5999999999999996"/>
    <n v="30"/>
    <n v="7"/>
    <n v="70"/>
  </r>
  <r>
    <x v="15"/>
    <x v="9"/>
    <n v="42"/>
    <n v="3.3809523809523809"/>
    <n v="47.619047619047613"/>
    <n v="22"/>
    <n v="52.380952380952387"/>
  </r>
  <r>
    <x v="15"/>
    <x v="10"/>
    <n v="11"/>
    <n v="3.7272727272727271"/>
    <n v="72.727272727272734"/>
    <n v="3"/>
    <n v="27.27272727272727"/>
  </r>
  <r>
    <x v="15"/>
    <x v="11"/>
    <n v="45"/>
    <n v="3.6"/>
    <n v="44.444444444444443"/>
    <n v="25"/>
    <n v="55.555555555555557"/>
  </r>
  <r>
    <x v="15"/>
    <x v="12"/>
    <n v="27"/>
    <n v="3.1481481481481484"/>
    <n v="44.444444444444443"/>
    <n v="15"/>
    <n v="55.555555555555557"/>
  </r>
  <r>
    <x v="15"/>
    <x v="13"/>
    <n v="15"/>
    <n v="3.6666666666666665"/>
    <n v="26.666666666666668"/>
    <n v="11"/>
    <n v="73.333333333333329"/>
  </r>
  <r>
    <x v="15"/>
    <x v="14"/>
    <n v="17"/>
    <n v="3.1764705882352939"/>
    <n v="64.705882352941174"/>
    <n v="6"/>
    <n v="35.294117647058826"/>
  </r>
  <r>
    <x v="15"/>
    <x v="15"/>
    <n v="11"/>
    <n v="2.7272727272727271"/>
    <n v="36.363636363636367"/>
    <n v="7"/>
    <n v="63.636363636363633"/>
  </r>
  <r>
    <x v="15"/>
    <x v="16"/>
    <n v="580"/>
    <n v="3.4051724137931036"/>
    <n v="43.793103448275858"/>
    <n v="326"/>
    <n v="56.206896551724142"/>
  </r>
  <r>
    <x v="15"/>
    <x v="17"/>
    <n v="14"/>
    <n v="3.2857142857142856"/>
    <n v="35.714285714285715"/>
    <n v="9"/>
    <n v="64.285714285714292"/>
  </r>
  <r>
    <x v="15"/>
    <x v="18"/>
    <n v="683"/>
    <n v="3.5095168374816983"/>
    <n v="45.095168374816986"/>
    <n v="375"/>
    <n v="54.904831625183014"/>
  </r>
  <r>
    <x v="15"/>
    <x v="19"/>
    <n v="331"/>
    <n v="3.6435045317220545"/>
    <n v="40.181268882175225"/>
    <n v="198"/>
    <n v="59.818731117824775"/>
  </r>
  <r>
    <x v="15"/>
    <x v="20"/>
    <n v="18"/>
    <n v="3.7222222222222223"/>
    <n v="27.777777777777779"/>
    <n v="13"/>
    <n v="72.222222222222214"/>
  </r>
  <r>
    <x v="15"/>
    <x v="21"/>
    <n v="39"/>
    <n v="3.641025641025641"/>
    <n v="48.717948717948715"/>
    <n v="20"/>
    <n v="51.282051282051277"/>
  </r>
  <r>
    <x v="15"/>
    <x v="22"/>
    <n v="429"/>
    <n v="3.5314685314685317"/>
    <n v="42.890442890442891"/>
    <n v="245"/>
    <n v="57.109557109557109"/>
  </r>
  <r>
    <x v="15"/>
    <x v="23"/>
    <n v="613"/>
    <n v="3.3866231647634586"/>
    <n v="44.371941272430668"/>
    <n v="341"/>
    <n v="55.628058727569332"/>
  </r>
  <r>
    <x v="16"/>
    <x v="0"/>
    <n v="77"/>
    <n v="3.3376623376623376"/>
    <n v="45.454545454545453"/>
    <n v="42"/>
    <n v="54.54545454545454"/>
  </r>
  <r>
    <x v="16"/>
    <x v="1"/>
    <n v="22"/>
    <n v="3.5454545454545454"/>
    <n v="40.909090909090914"/>
    <n v="13"/>
    <n v="59.090909090909093"/>
  </r>
  <r>
    <x v="16"/>
    <x v="2"/>
    <n v="12"/>
    <n v="4"/>
    <n v="33.333333333333329"/>
    <n v="8"/>
    <n v="66.666666666666657"/>
  </r>
  <r>
    <x v="16"/>
    <x v="3"/>
    <n v="426"/>
    <n v="3.375586854460094"/>
    <n v="46.713615023474183"/>
    <n v="227"/>
    <n v="53.286384976525824"/>
  </r>
  <r>
    <x v="16"/>
    <x v="4"/>
    <n v="325"/>
    <n v="3.48"/>
    <n v="40.92307692307692"/>
    <n v="192"/>
    <n v="59.07692307692308"/>
  </r>
  <r>
    <x v="16"/>
    <x v="5"/>
    <n v="802"/>
    <n v="3.5586034912718203"/>
    <n v="41.895261845386536"/>
    <n v="466"/>
    <n v="58.104738154613464"/>
  </r>
  <r>
    <x v="16"/>
    <x v="6"/>
    <n v="110"/>
    <n v="3.1545454545454548"/>
    <n v="48.18181818181818"/>
    <n v="57"/>
    <n v="51.81818181818182"/>
  </r>
  <r>
    <x v="16"/>
    <x v="7"/>
    <n v="502"/>
    <n v="3.310756972111554"/>
    <n v="49.402390438247011"/>
    <n v="254"/>
    <n v="50.597609561752989"/>
  </r>
  <r>
    <x v="16"/>
    <x v="8"/>
    <n v="13"/>
    <n v="3.2307692307692308"/>
    <n v="46.153846153846153"/>
    <n v="7"/>
    <n v="53.846153846153847"/>
  </r>
  <r>
    <x v="16"/>
    <x v="9"/>
    <n v="49"/>
    <n v="3.2448979591836733"/>
    <n v="61.224489795918366"/>
    <n v="19"/>
    <n v="38.775510204081634"/>
  </r>
  <r>
    <x v="16"/>
    <x v="10"/>
    <n v="11"/>
    <n v="3.5454545454545454"/>
    <n v="54.54545454545454"/>
    <n v="5"/>
    <n v="45.454545454545453"/>
  </r>
  <r>
    <x v="16"/>
    <x v="11"/>
    <n v="50"/>
    <n v="3.1"/>
    <n v="64"/>
    <n v="18"/>
    <n v="36"/>
  </r>
  <r>
    <x v="16"/>
    <x v="12"/>
    <n v="33"/>
    <n v="3.8181818181818183"/>
    <n v="39.393939393939391"/>
    <n v="20"/>
    <n v="60.606060606060609"/>
  </r>
  <r>
    <x v="16"/>
    <x v="13"/>
    <n v="14"/>
    <n v="3.1428571428571428"/>
    <n v="57.142857142857139"/>
    <n v="6"/>
    <n v="42.857142857142854"/>
  </r>
  <r>
    <x v="16"/>
    <x v="14"/>
    <n v="21"/>
    <n v="3.3809523809523809"/>
    <n v="47.619047619047613"/>
    <n v="11"/>
    <n v="52.380952380952387"/>
  </r>
  <r>
    <x v="16"/>
    <x v="15"/>
    <n v="8"/>
    <n v="3.125"/>
    <n v="12.5"/>
    <n v="7"/>
    <n v="87.5"/>
  </r>
  <r>
    <x v="16"/>
    <x v="16"/>
    <n v="599"/>
    <n v="3.4056761268781304"/>
    <n v="45.075125208681129"/>
    <n v="329"/>
    <n v="54.924874791318871"/>
  </r>
  <r>
    <x v="16"/>
    <x v="17"/>
    <n v="6"/>
    <n v="3.8333333333333335"/>
    <n v="50"/>
    <n v="3"/>
    <n v="50"/>
  </r>
  <r>
    <x v="16"/>
    <x v="18"/>
    <n v="677"/>
    <n v="3.4903988183161005"/>
    <n v="44.165435745937963"/>
    <n v="378"/>
    <n v="55.834564254062037"/>
  </r>
  <r>
    <x v="16"/>
    <x v="19"/>
    <n v="332"/>
    <n v="3.5180722891566263"/>
    <n v="42.771084337349393"/>
    <n v="190"/>
    <n v="57.228915662650607"/>
  </r>
  <r>
    <x v="16"/>
    <x v="20"/>
    <n v="10"/>
    <n v="4"/>
    <n v="30"/>
    <n v="7"/>
    <n v="70"/>
  </r>
  <r>
    <x v="16"/>
    <x v="21"/>
    <n v="31"/>
    <n v="3.032258064516129"/>
    <n v="41.935483870967744"/>
    <n v="18"/>
    <n v="58.064516129032263"/>
  </r>
  <r>
    <x v="16"/>
    <x v="22"/>
    <n v="516"/>
    <n v="3.4961240310077519"/>
    <n v="44.573643410852718"/>
    <n v="286"/>
    <n v="55.426356589147282"/>
  </r>
  <r>
    <x v="16"/>
    <x v="23"/>
    <n v="656"/>
    <n v="3.4405487804878048"/>
    <n v="42.378048780487802"/>
    <n v="378"/>
    <n v="57.621951219512191"/>
  </r>
  <r>
    <x v="17"/>
    <x v="0"/>
    <n v="56"/>
    <n v="3.375"/>
    <n v="37.5"/>
    <n v="35"/>
    <n v="62.5"/>
  </r>
  <r>
    <x v="17"/>
    <x v="1"/>
    <n v="13"/>
    <n v="3.6923076923076925"/>
    <n v="46.153846153846153"/>
    <n v="7"/>
    <n v="53.846153846153847"/>
  </r>
  <r>
    <x v="17"/>
    <x v="2"/>
    <n v="11"/>
    <n v="2.8181818181818183"/>
    <n v="45.454545454545453"/>
    <n v="6"/>
    <n v="54.54545454545454"/>
  </r>
  <r>
    <x v="17"/>
    <x v="3"/>
    <n v="421"/>
    <n v="3.4893111638954868"/>
    <n v="45.605700712589076"/>
    <n v="229"/>
    <n v="54.394299287410931"/>
  </r>
  <r>
    <x v="17"/>
    <x v="4"/>
    <n v="360"/>
    <n v="3.5138888888888888"/>
    <n v="47.222222222222221"/>
    <n v="190"/>
    <n v="52.777777777777779"/>
  </r>
  <r>
    <x v="17"/>
    <x v="5"/>
    <n v="728"/>
    <n v="3.5192307692307692"/>
    <n v="44.230769230769226"/>
    <n v="406"/>
    <n v="55.769230769230774"/>
  </r>
  <r>
    <x v="17"/>
    <x v="6"/>
    <n v="117"/>
    <n v="3.3675213675213675"/>
    <n v="45.299145299145302"/>
    <n v="64"/>
    <n v="54.700854700854705"/>
  </r>
  <r>
    <x v="17"/>
    <x v="7"/>
    <n v="546"/>
    <n v="3.5329670329670328"/>
    <n v="41.208791208791204"/>
    <n v="321"/>
    <n v="58.791208791208796"/>
  </r>
  <r>
    <x v="17"/>
    <x v="8"/>
    <n v="6"/>
    <n v="4"/>
    <n v="33.333333333333329"/>
    <n v="4"/>
    <n v="66.666666666666657"/>
  </r>
  <r>
    <x v="17"/>
    <x v="9"/>
    <n v="49"/>
    <n v="3.510204081632653"/>
    <n v="40.816326530612244"/>
    <n v="29"/>
    <n v="59.183673469387756"/>
  </r>
  <r>
    <x v="17"/>
    <x v="10"/>
    <n v="9"/>
    <n v="3.6666666666666665"/>
    <n v="33.333333333333329"/>
    <n v="6"/>
    <n v="66.666666666666657"/>
  </r>
  <r>
    <x v="17"/>
    <x v="11"/>
    <n v="53"/>
    <n v="3.2830188679245285"/>
    <n v="50.943396226415096"/>
    <n v="26"/>
    <n v="49.056603773584904"/>
  </r>
  <r>
    <x v="17"/>
    <x v="12"/>
    <n v="27"/>
    <n v="3.0370370370370372"/>
    <n v="59.259259259259252"/>
    <n v="11"/>
    <n v="40.74074074074074"/>
  </r>
  <r>
    <x v="17"/>
    <x v="13"/>
    <n v="11"/>
    <n v="3.1818181818181817"/>
    <n v="36.363636363636367"/>
    <n v="7"/>
    <n v="63.636363636363633"/>
  </r>
  <r>
    <x v="17"/>
    <x v="14"/>
    <n v="20"/>
    <n v="3.15"/>
    <n v="55.000000000000007"/>
    <n v="9"/>
    <n v="45"/>
  </r>
  <r>
    <x v="17"/>
    <x v="15"/>
    <n v="11"/>
    <n v="3"/>
    <n v="72.727272727272734"/>
    <n v="3"/>
    <n v="27.27272727272727"/>
  </r>
  <r>
    <x v="17"/>
    <x v="16"/>
    <n v="525"/>
    <n v="3.4723809523809526"/>
    <n v="47.238095238095241"/>
    <n v="277"/>
    <n v="52.761904761904766"/>
  </r>
  <r>
    <x v="17"/>
    <x v="17"/>
    <n v="11"/>
    <n v="2.3636363636363638"/>
    <n v="54.54545454545454"/>
    <n v="5"/>
    <n v="45.454545454545453"/>
  </r>
  <r>
    <x v="17"/>
    <x v="18"/>
    <n v="672"/>
    <n v="3.5446428571428572"/>
    <n v="42.261904761904759"/>
    <n v="388"/>
    <n v="57.738095238095234"/>
  </r>
  <r>
    <x v="17"/>
    <x v="19"/>
    <n v="321"/>
    <n v="3.5264797507788161"/>
    <n v="43.302180685358252"/>
    <n v="182"/>
    <n v="56.697819314641741"/>
  </r>
  <r>
    <x v="17"/>
    <x v="20"/>
    <n v="14"/>
    <n v="3.0714285714285716"/>
    <n v="42.857142857142854"/>
    <n v="8"/>
    <n v="57.142857142857139"/>
  </r>
  <r>
    <x v="17"/>
    <x v="21"/>
    <n v="23"/>
    <n v="3.3913043478260869"/>
    <n v="39.130434782608695"/>
    <n v="14"/>
    <n v="60.869565217391312"/>
  </r>
  <r>
    <x v="17"/>
    <x v="22"/>
    <n v="411"/>
    <n v="3.6180048661800486"/>
    <n v="45.012165450121657"/>
    <n v="226"/>
    <n v="54.987834549878343"/>
  </r>
  <r>
    <x v="17"/>
    <x v="23"/>
    <n v="639"/>
    <n v="3.5805946791862286"/>
    <n v="41.627543035993739"/>
    <n v="373"/>
    <n v="58.372456964006261"/>
  </r>
  <r>
    <x v="18"/>
    <x v="0"/>
    <n v="61"/>
    <n v="3.7704918032786887"/>
    <n v="47.540983606557376"/>
    <n v="32"/>
    <n v="52.459016393442624"/>
  </r>
  <r>
    <x v="18"/>
    <x v="1"/>
    <n v="36"/>
    <n v="3.4444444444444446"/>
    <n v="50"/>
    <n v="18"/>
    <n v="50"/>
  </r>
  <r>
    <x v="18"/>
    <x v="2"/>
    <n v="14"/>
    <n v="3.2142857142857144"/>
    <n v="21.428571428571427"/>
    <n v="11"/>
    <n v="78.571428571428569"/>
  </r>
  <r>
    <x v="18"/>
    <x v="3"/>
    <n v="418"/>
    <n v="3.4043062200956937"/>
    <n v="45.215311004784688"/>
    <n v="229"/>
    <n v="54.784688995215312"/>
  </r>
  <r>
    <x v="18"/>
    <x v="4"/>
    <n v="375"/>
    <n v="3.4266666666666667"/>
    <n v="53.333333333333336"/>
    <n v="175"/>
    <n v="46.666666666666664"/>
  </r>
  <r>
    <x v="18"/>
    <x v="5"/>
    <n v="728"/>
    <n v="3.4189560439560438"/>
    <n v="47.664835164835168"/>
    <n v="381"/>
    <n v="52.335164835164839"/>
  </r>
  <r>
    <x v="18"/>
    <x v="6"/>
    <n v="114"/>
    <n v="3.4561403508771931"/>
    <n v="38.596491228070171"/>
    <n v="70"/>
    <n v="61.403508771929829"/>
  </r>
  <r>
    <x v="18"/>
    <x v="7"/>
    <n v="523"/>
    <n v="3.434034416826004"/>
    <n v="45.506692160611856"/>
    <n v="285"/>
    <n v="54.493307839388152"/>
  </r>
  <r>
    <x v="18"/>
    <x v="8"/>
    <n v="8"/>
    <n v="3.875"/>
    <n v="25"/>
    <n v="6"/>
    <n v="75"/>
  </r>
  <r>
    <x v="18"/>
    <x v="9"/>
    <n v="46"/>
    <n v="3.0434782608695654"/>
    <n v="43.478260869565219"/>
    <n v="26"/>
    <n v="56.521739130434781"/>
  </r>
  <r>
    <x v="18"/>
    <x v="10"/>
    <n v="11"/>
    <n v="3.8181818181818183"/>
    <n v="36.363636363636367"/>
    <n v="7"/>
    <n v="63.636363636363633"/>
  </r>
  <r>
    <x v="18"/>
    <x v="11"/>
    <n v="51"/>
    <n v="3.5686274509803924"/>
    <n v="43.137254901960787"/>
    <n v="29"/>
    <n v="56.862745098039213"/>
  </r>
  <r>
    <x v="18"/>
    <x v="12"/>
    <n v="26"/>
    <n v="3.3846153846153846"/>
    <n v="53.846153846153847"/>
    <n v="12"/>
    <n v="46.153846153846153"/>
  </r>
  <r>
    <x v="18"/>
    <x v="13"/>
    <n v="11"/>
    <n v="2.5454545454545454"/>
    <n v="54.54545454545454"/>
    <n v="5"/>
    <n v="45.454545454545453"/>
  </r>
  <r>
    <x v="18"/>
    <x v="14"/>
    <n v="27"/>
    <n v="3.4814814814814814"/>
    <n v="51.851851851851848"/>
    <n v="13"/>
    <n v="48.148148148148145"/>
  </r>
  <r>
    <x v="18"/>
    <x v="15"/>
    <n v="10"/>
    <n v="4.3"/>
    <n v="30"/>
    <n v="7"/>
    <n v="70"/>
  </r>
  <r>
    <x v="18"/>
    <x v="16"/>
    <n v="610"/>
    <n v="3.3655737704918032"/>
    <n v="45.081967213114751"/>
    <n v="335"/>
    <n v="54.918032786885249"/>
  </r>
  <r>
    <x v="18"/>
    <x v="17"/>
    <n v="9"/>
    <n v="4.5555555555555554"/>
    <n v="22.222222222222221"/>
    <n v="7"/>
    <n v="77.777777777777786"/>
  </r>
  <r>
    <x v="18"/>
    <x v="18"/>
    <n v="687"/>
    <n v="3.4978165938864629"/>
    <n v="45.705967976710333"/>
    <n v="373"/>
    <n v="54.29403202328966"/>
  </r>
  <r>
    <x v="18"/>
    <x v="19"/>
    <n v="319"/>
    <n v="3.3072100313479624"/>
    <n v="48.589341692789965"/>
    <n v="164"/>
    <n v="51.410658307210035"/>
  </r>
  <r>
    <x v="18"/>
    <x v="20"/>
    <n v="14"/>
    <n v="3.3571428571428572"/>
    <n v="64.285714285714292"/>
    <n v="5"/>
    <n v="35.714285714285715"/>
  </r>
  <r>
    <x v="18"/>
    <x v="21"/>
    <n v="36"/>
    <n v="4.0277777777777777"/>
    <n v="36.111111111111107"/>
    <n v="23"/>
    <n v="63.888888888888886"/>
  </r>
  <r>
    <x v="18"/>
    <x v="22"/>
    <n v="515"/>
    <n v="3.4310679611650485"/>
    <n v="45.436893203883493"/>
    <n v="281"/>
    <n v="54.5631067961165"/>
  </r>
  <r>
    <x v="18"/>
    <x v="23"/>
    <n v="656"/>
    <n v="3.4039634146341462"/>
    <n v="49.542682926829265"/>
    <n v="331"/>
    <n v="50.457317073170728"/>
  </r>
  <r>
    <x v="19"/>
    <x v="0"/>
    <n v="49"/>
    <n v="3.4081632653061225"/>
    <n v="36.734693877551024"/>
    <n v="31"/>
    <n v="63.265306122448983"/>
  </r>
  <r>
    <x v="19"/>
    <x v="1"/>
    <n v="12"/>
    <n v="2.8333333333333335"/>
    <n v="75"/>
    <n v="3"/>
    <n v="25"/>
  </r>
  <r>
    <x v="19"/>
    <x v="2"/>
    <n v="15"/>
    <n v="3.1333333333333333"/>
    <n v="53.333333333333336"/>
    <n v="7"/>
    <n v="46.666666666666664"/>
  </r>
  <r>
    <x v="19"/>
    <x v="3"/>
    <n v="419"/>
    <n v="3.4916467780429596"/>
    <n v="46.300715990453462"/>
    <n v="225"/>
    <n v="53.699284009546545"/>
  </r>
  <r>
    <x v="19"/>
    <x v="4"/>
    <n v="406"/>
    <n v="3.3842364532019706"/>
    <n v="42.857142857142854"/>
    <n v="232"/>
    <n v="57.142857142857139"/>
  </r>
  <r>
    <x v="19"/>
    <x v="5"/>
    <n v="761"/>
    <n v="3.5873850197109065"/>
    <n v="43.363994743758212"/>
    <n v="431"/>
    <n v="56.636005256241781"/>
  </r>
  <r>
    <x v="19"/>
    <x v="6"/>
    <n v="124"/>
    <n v="3.620967741935484"/>
    <n v="42.741935483870968"/>
    <n v="71"/>
    <n v="57.258064516129039"/>
  </r>
  <r>
    <x v="19"/>
    <x v="7"/>
    <n v="534"/>
    <n v="3.3764044943820224"/>
    <n v="48.50187265917603"/>
    <n v="275"/>
    <n v="51.49812734082397"/>
  </r>
  <r>
    <x v="19"/>
    <x v="8"/>
    <n v="16"/>
    <n v="3.25"/>
    <n v="50"/>
    <n v="8"/>
    <n v="50"/>
  </r>
  <r>
    <x v="19"/>
    <x v="9"/>
    <n v="41"/>
    <n v="3.5853658536585367"/>
    <n v="46.341463414634148"/>
    <n v="22"/>
    <n v="53.658536585365859"/>
  </r>
  <r>
    <x v="19"/>
    <x v="10"/>
    <n v="16"/>
    <n v="3.625"/>
    <n v="43.75"/>
    <n v="9"/>
    <n v="56.25"/>
  </r>
  <r>
    <x v="19"/>
    <x v="11"/>
    <n v="38"/>
    <n v="3.3684210526315788"/>
    <n v="44.736842105263158"/>
    <n v="21"/>
    <n v="55.26315789473685"/>
  </r>
  <r>
    <x v="19"/>
    <x v="12"/>
    <n v="41"/>
    <n v="3.6341463414634148"/>
    <n v="48.780487804878049"/>
    <n v="21"/>
    <n v="51.219512195121951"/>
  </r>
  <r>
    <x v="19"/>
    <x v="13"/>
    <n v="11"/>
    <n v="4"/>
    <n v="36.363636363636367"/>
    <n v="7"/>
    <n v="63.636363636363633"/>
  </r>
  <r>
    <x v="19"/>
    <x v="14"/>
    <n v="26"/>
    <n v="3.6538461538461537"/>
    <n v="50"/>
    <n v="13"/>
    <n v="50"/>
  </r>
  <r>
    <x v="19"/>
    <x v="15"/>
    <n v="11"/>
    <n v="3.7272727272727271"/>
    <n v="27.27272727272727"/>
    <n v="8"/>
    <n v="72.727272727272734"/>
  </r>
  <r>
    <x v="19"/>
    <x v="16"/>
    <n v="554"/>
    <n v="3.523465703971119"/>
    <n v="46.028880866425993"/>
    <n v="299"/>
    <n v="53.971119133574007"/>
  </r>
  <r>
    <x v="19"/>
    <x v="17"/>
    <n v="6"/>
    <n v="3.1666666666666665"/>
    <n v="66.666666666666657"/>
    <n v="2"/>
    <n v="33.333333333333329"/>
  </r>
  <r>
    <x v="19"/>
    <x v="18"/>
    <n v="725"/>
    <n v="3.3710344827586205"/>
    <n v="47.448275862068968"/>
    <n v="381"/>
    <n v="52.551724137931032"/>
  </r>
  <r>
    <x v="19"/>
    <x v="19"/>
    <n v="342"/>
    <n v="3.3918128654970761"/>
    <n v="47.368421052631575"/>
    <n v="180"/>
    <n v="52.631578947368418"/>
  </r>
  <r>
    <x v="19"/>
    <x v="20"/>
    <n v="8"/>
    <n v="3.75"/>
    <n v="37.5"/>
    <n v="5"/>
    <n v="62.5"/>
  </r>
  <r>
    <x v="19"/>
    <x v="21"/>
    <n v="33"/>
    <n v="3.5151515151515151"/>
    <n v="45.454545454545453"/>
    <n v="18"/>
    <n v="54.54545454545454"/>
  </r>
  <r>
    <x v="19"/>
    <x v="22"/>
    <n v="459"/>
    <n v="3.363834422657952"/>
    <n v="47.712418300653596"/>
    <n v="240"/>
    <n v="52.287581699346411"/>
  </r>
  <r>
    <x v="19"/>
    <x v="23"/>
    <n v="687"/>
    <n v="3.4192139737991267"/>
    <n v="45.705967976710333"/>
    <n v="373"/>
    <n v="54.29403202328966"/>
  </r>
  <r>
    <x v="20"/>
    <x v="0"/>
    <n v="61"/>
    <n v="3.8524590163934427"/>
    <n v="42.622950819672127"/>
    <n v="35"/>
    <n v="57.377049180327866"/>
  </r>
  <r>
    <x v="20"/>
    <x v="1"/>
    <n v="19"/>
    <n v="3.5789473684210527"/>
    <n v="36.84210526315789"/>
    <n v="12"/>
    <n v="63.157894736842103"/>
  </r>
  <r>
    <x v="20"/>
    <x v="2"/>
    <n v="8"/>
    <n v="3.25"/>
    <n v="37.5"/>
    <n v="5"/>
    <n v="62.5"/>
  </r>
  <r>
    <x v="20"/>
    <x v="3"/>
    <n v="385"/>
    <n v="3.4441558441558442"/>
    <n v="44.675324675324674"/>
    <n v="213"/>
    <n v="55.324675324675319"/>
  </r>
  <r>
    <x v="20"/>
    <x v="4"/>
    <n v="348"/>
    <n v="3.5172413793103448"/>
    <n v="43.678160919540232"/>
    <n v="196"/>
    <n v="56.321839080459768"/>
  </r>
  <r>
    <x v="20"/>
    <x v="5"/>
    <n v="755"/>
    <n v="3.4304635761589406"/>
    <n v="45.165562913907287"/>
    <n v="414"/>
    <n v="54.834437086092713"/>
  </r>
  <r>
    <x v="20"/>
    <x v="6"/>
    <n v="119"/>
    <n v="3.4789915966386555"/>
    <n v="51.260504201680668"/>
    <n v="58"/>
    <n v="48.739495798319325"/>
  </r>
  <r>
    <x v="20"/>
    <x v="7"/>
    <n v="508"/>
    <n v="3.5236220472440944"/>
    <n v="44.291338582677163"/>
    <n v="283"/>
    <n v="55.708661417322837"/>
  </r>
  <r>
    <x v="20"/>
    <x v="8"/>
    <n v="8"/>
    <n v="4.375"/>
    <n v="25"/>
    <n v="6"/>
    <n v="75"/>
  </r>
  <r>
    <x v="20"/>
    <x v="9"/>
    <n v="44"/>
    <n v="3.5681818181818183"/>
    <n v="50"/>
    <n v="22"/>
    <n v="50"/>
  </r>
  <r>
    <x v="20"/>
    <x v="10"/>
    <n v="13"/>
    <n v="3.6923076923076925"/>
    <n v="46.153846153846153"/>
    <n v="7"/>
    <n v="53.846153846153847"/>
  </r>
  <r>
    <x v="20"/>
    <x v="11"/>
    <n v="67"/>
    <n v="3.4776119402985075"/>
    <n v="49.253731343283583"/>
    <n v="34"/>
    <n v="50.746268656716417"/>
  </r>
  <r>
    <x v="20"/>
    <x v="12"/>
    <n v="22"/>
    <n v="3.8181818181818183"/>
    <n v="50"/>
    <n v="11"/>
    <n v="50"/>
  </r>
  <r>
    <x v="20"/>
    <x v="13"/>
    <n v="11"/>
    <n v="3.2727272727272729"/>
    <n v="63.636363636363633"/>
    <n v="4"/>
    <n v="36.363636363636367"/>
  </r>
  <r>
    <x v="20"/>
    <x v="14"/>
    <n v="17"/>
    <n v="2.9411764705882355"/>
    <n v="52.941176470588239"/>
    <n v="8"/>
    <n v="47.058823529411761"/>
  </r>
  <r>
    <x v="20"/>
    <x v="15"/>
    <n v="17"/>
    <n v="3.3529411764705883"/>
    <n v="52.941176470588239"/>
    <n v="8"/>
    <n v="47.058823529411761"/>
  </r>
  <r>
    <x v="20"/>
    <x v="16"/>
    <n v="598"/>
    <n v="3.4331103678929766"/>
    <n v="44.314381270903006"/>
    <n v="333"/>
    <n v="55.685618729096987"/>
  </r>
  <r>
    <x v="20"/>
    <x v="17"/>
    <n v="8"/>
    <n v="3.875"/>
    <n v="25"/>
    <n v="6"/>
    <n v="75"/>
  </r>
  <r>
    <x v="20"/>
    <x v="18"/>
    <n v="684"/>
    <n v="3.492690058479532"/>
    <n v="44.444444444444443"/>
    <n v="380"/>
    <n v="55.555555555555557"/>
  </r>
  <r>
    <x v="20"/>
    <x v="19"/>
    <n v="323"/>
    <n v="3.3405572755417956"/>
    <n v="48.297213622291025"/>
    <n v="167"/>
    <n v="51.702786377708975"/>
  </r>
  <r>
    <x v="20"/>
    <x v="20"/>
    <n v="13"/>
    <n v="3.3076923076923075"/>
    <n v="46.153846153846153"/>
    <n v="7"/>
    <n v="53.846153846153847"/>
  </r>
  <r>
    <x v="20"/>
    <x v="21"/>
    <n v="39"/>
    <n v="3.4102564102564101"/>
    <n v="41.025641025641022"/>
    <n v="23"/>
    <n v="58.974358974358978"/>
  </r>
  <r>
    <x v="20"/>
    <x v="22"/>
    <n v="473"/>
    <n v="3.5454545454545454"/>
    <n v="43.97463002114165"/>
    <n v="265"/>
    <n v="56.02536997885835"/>
  </r>
  <r>
    <x v="20"/>
    <x v="23"/>
    <n v="620"/>
    <n v="3.3693548387096772"/>
    <n v="46.29032258064516"/>
    <n v="333"/>
    <n v="53.70967741935484"/>
  </r>
  <r>
    <x v="21"/>
    <x v="0"/>
    <n v="72"/>
    <n v="3.625"/>
    <n v="43.055555555555557"/>
    <n v="41"/>
    <n v="56.944444444444443"/>
  </r>
  <r>
    <x v="21"/>
    <x v="1"/>
    <n v="20"/>
    <n v="3.45"/>
    <n v="45"/>
    <n v="11"/>
    <n v="55.000000000000007"/>
  </r>
  <r>
    <x v="21"/>
    <x v="2"/>
    <n v="14"/>
    <n v="2.5"/>
    <n v="64.285714285714292"/>
    <n v="5"/>
    <n v="35.714285714285715"/>
  </r>
  <r>
    <x v="21"/>
    <x v="3"/>
    <n v="422"/>
    <n v="3.3009478672985781"/>
    <n v="49.052132701421804"/>
    <n v="215"/>
    <n v="50.947867298578196"/>
  </r>
  <r>
    <x v="21"/>
    <x v="4"/>
    <n v="367"/>
    <n v="3.3923705722070845"/>
    <n v="49.04632152588556"/>
    <n v="187"/>
    <n v="50.95367847411444"/>
  </r>
  <r>
    <x v="21"/>
    <x v="5"/>
    <n v="753"/>
    <n v="3.49933598937583"/>
    <n v="45.019920318725099"/>
    <n v="414"/>
    <n v="54.980079681274894"/>
  </r>
  <r>
    <x v="21"/>
    <x v="6"/>
    <n v="126"/>
    <n v="3.6349206349206349"/>
    <n v="49.206349206349202"/>
    <n v="64"/>
    <n v="50.793650793650791"/>
  </r>
  <r>
    <x v="21"/>
    <x v="7"/>
    <n v="509"/>
    <n v="3.3850687622789786"/>
    <n v="46.36542239685658"/>
    <n v="273"/>
    <n v="53.63457760314342"/>
  </r>
  <r>
    <x v="21"/>
    <x v="8"/>
    <n v="9"/>
    <n v="2.8888888888888888"/>
    <n v="55.555555555555557"/>
    <n v="4"/>
    <n v="44.444444444444443"/>
  </r>
  <r>
    <x v="21"/>
    <x v="9"/>
    <n v="47"/>
    <n v="3.2127659574468086"/>
    <n v="51.063829787234042"/>
    <n v="23"/>
    <n v="48.936170212765958"/>
  </r>
  <r>
    <x v="21"/>
    <x v="10"/>
    <n v="10"/>
    <n v="3"/>
    <n v="60"/>
    <n v="4"/>
    <n v="40"/>
  </r>
  <r>
    <x v="21"/>
    <x v="11"/>
    <n v="52"/>
    <n v="3.4423076923076925"/>
    <n v="44.230769230769226"/>
    <n v="29"/>
    <n v="55.769230769230774"/>
  </r>
  <r>
    <x v="21"/>
    <x v="12"/>
    <n v="34"/>
    <n v="3.5882352941176472"/>
    <n v="32.352941176470587"/>
    <n v="23"/>
    <n v="67.64705882352942"/>
  </r>
  <r>
    <x v="21"/>
    <x v="13"/>
    <n v="13"/>
    <n v="3.6153846153846154"/>
    <n v="53.846153846153847"/>
    <n v="6"/>
    <n v="46.153846153846153"/>
  </r>
  <r>
    <x v="21"/>
    <x v="14"/>
    <n v="20"/>
    <n v="3.9"/>
    <n v="30"/>
    <n v="14"/>
    <n v="70"/>
  </r>
  <r>
    <x v="21"/>
    <x v="15"/>
    <n v="10"/>
    <n v="2.4"/>
    <n v="70"/>
    <n v="3"/>
    <n v="30"/>
  </r>
  <r>
    <x v="21"/>
    <x v="16"/>
    <n v="649"/>
    <n v="3.4453004622496146"/>
    <n v="50.231124807396"/>
    <n v="323"/>
    <n v="49.768875192604007"/>
  </r>
  <r>
    <x v="21"/>
    <x v="17"/>
    <n v="13"/>
    <n v="4.3076923076923075"/>
    <n v="30.76923076923077"/>
    <n v="9"/>
    <n v="69.230769230769226"/>
  </r>
  <r>
    <x v="21"/>
    <x v="18"/>
    <n v="725"/>
    <n v="3.4441379310344828"/>
    <n v="44.137931034482762"/>
    <n v="405"/>
    <n v="55.862068965517238"/>
  </r>
  <r>
    <x v="21"/>
    <x v="19"/>
    <n v="337"/>
    <n v="3.4896142433234423"/>
    <n v="44.213649851632049"/>
    <n v="188"/>
    <n v="55.786350148367958"/>
  </r>
  <r>
    <x v="21"/>
    <x v="20"/>
    <n v="8"/>
    <n v="3.5"/>
    <n v="25"/>
    <n v="6"/>
    <n v="75"/>
  </r>
  <r>
    <x v="21"/>
    <x v="21"/>
    <n v="36"/>
    <n v="3.6666666666666665"/>
    <n v="27.777777777777779"/>
    <n v="26"/>
    <n v="72.222222222222214"/>
  </r>
  <r>
    <x v="21"/>
    <x v="22"/>
    <n v="490"/>
    <n v="3.4326530612244897"/>
    <n v="46.326530612244895"/>
    <n v="263"/>
    <n v="53.673469387755105"/>
  </r>
  <r>
    <x v="21"/>
    <x v="23"/>
    <n v="662"/>
    <n v="3.3791540785498491"/>
    <n v="39.274924471299094"/>
    <n v="402"/>
    <n v="60.725075528700913"/>
  </r>
  <r>
    <x v="22"/>
    <x v="0"/>
    <n v="68"/>
    <n v="3.8823529411764706"/>
    <n v="36.764705882352942"/>
    <n v="43"/>
    <n v="63.235294117647058"/>
  </r>
  <r>
    <x v="22"/>
    <x v="1"/>
    <n v="18"/>
    <n v="3"/>
    <n v="50"/>
    <n v="9"/>
    <n v="50"/>
  </r>
  <r>
    <x v="22"/>
    <x v="2"/>
    <n v="17"/>
    <n v="3.4705882352941178"/>
    <n v="47.058823529411761"/>
    <n v="9"/>
    <n v="52.941176470588239"/>
  </r>
  <r>
    <x v="22"/>
    <x v="3"/>
    <n v="426"/>
    <n v="3.4530516431924885"/>
    <n v="47.652582159624416"/>
    <n v="223"/>
    <n v="52.347417840375584"/>
  </r>
  <r>
    <x v="22"/>
    <x v="4"/>
    <n v="382"/>
    <n v="3.4764397905759163"/>
    <n v="49.214659685863879"/>
    <n v="194"/>
    <n v="50.785340314136128"/>
  </r>
  <r>
    <x v="22"/>
    <x v="5"/>
    <n v="737"/>
    <n v="3.5359565807327002"/>
    <n v="44.91180461329715"/>
    <n v="406"/>
    <n v="55.088195386702857"/>
  </r>
  <r>
    <x v="22"/>
    <x v="6"/>
    <n v="116"/>
    <n v="3.4741379310344827"/>
    <n v="45.689655172413794"/>
    <n v="63"/>
    <n v="54.310344827586206"/>
  </r>
  <r>
    <x v="22"/>
    <x v="7"/>
    <n v="560"/>
    <n v="3.5375000000000001"/>
    <n v="40.714285714285715"/>
    <n v="332"/>
    <n v="59.285714285714285"/>
  </r>
  <r>
    <x v="22"/>
    <x v="8"/>
    <n v="10"/>
    <n v="3.8"/>
    <n v="50"/>
    <n v="5"/>
    <n v="50"/>
  </r>
  <r>
    <x v="22"/>
    <x v="9"/>
    <n v="30"/>
    <n v="3.9333333333333331"/>
    <n v="33.333333333333329"/>
    <n v="20"/>
    <n v="66.666666666666657"/>
  </r>
  <r>
    <x v="22"/>
    <x v="10"/>
    <n v="12"/>
    <n v="3.4166666666666665"/>
    <n v="33.333333333333329"/>
    <n v="8"/>
    <n v="66.666666666666657"/>
  </r>
  <r>
    <x v="22"/>
    <x v="11"/>
    <n v="48"/>
    <n v="3.4375"/>
    <n v="41.666666666666671"/>
    <n v="28"/>
    <n v="58.333333333333336"/>
  </r>
  <r>
    <x v="22"/>
    <x v="12"/>
    <n v="39"/>
    <n v="3.8461538461538463"/>
    <n v="30.76923076923077"/>
    <n v="27"/>
    <n v="69.230769230769226"/>
  </r>
  <r>
    <x v="22"/>
    <x v="13"/>
    <n v="3"/>
    <n v="4.333333333333333"/>
    <n v="33.333333333333329"/>
    <n v="2"/>
    <n v="66.666666666666657"/>
  </r>
  <r>
    <x v="22"/>
    <x v="14"/>
    <n v="20"/>
    <n v="3.2"/>
    <n v="60"/>
    <n v="8"/>
    <n v="40"/>
  </r>
  <r>
    <x v="22"/>
    <x v="15"/>
    <n v="13"/>
    <n v="3.7692307692307692"/>
    <n v="53.846153846153847"/>
    <n v="6"/>
    <n v="46.153846153846153"/>
  </r>
  <r>
    <x v="22"/>
    <x v="16"/>
    <n v="574"/>
    <n v="3.4529616724738674"/>
    <n v="46.167247386759577"/>
    <n v="309"/>
    <n v="53.832752613240423"/>
  </r>
  <r>
    <x v="22"/>
    <x v="17"/>
    <n v="11"/>
    <n v="4"/>
    <n v="27.27272727272727"/>
    <n v="8"/>
    <n v="72.727272727272734"/>
  </r>
  <r>
    <x v="22"/>
    <x v="18"/>
    <n v="656"/>
    <n v="3.5716463414634148"/>
    <n v="44.969512195121951"/>
    <n v="361"/>
    <n v="55.030487804878049"/>
  </r>
  <r>
    <x v="22"/>
    <x v="19"/>
    <n v="332"/>
    <n v="3.4819277108433737"/>
    <n v="45.481927710843372"/>
    <n v="181"/>
    <n v="54.518072289156628"/>
  </r>
  <r>
    <x v="22"/>
    <x v="20"/>
    <n v="12"/>
    <n v="3.5833333333333335"/>
    <n v="66.666666666666657"/>
    <n v="4"/>
    <n v="33.333333333333329"/>
  </r>
  <r>
    <x v="22"/>
    <x v="21"/>
    <n v="24"/>
    <n v="3.75"/>
    <n v="33.333333333333329"/>
    <n v="16"/>
    <n v="66.666666666666657"/>
  </r>
  <r>
    <x v="22"/>
    <x v="22"/>
    <n v="475"/>
    <n v="3.446315789473684"/>
    <n v="44.210526315789473"/>
    <n v="265"/>
    <n v="55.78947368421052"/>
  </r>
  <r>
    <x v="22"/>
    <x v="23"/>
    <n v="627"/>
    <n v="3.4162679425837319"/>
    <n v="50.558213716108455"/>
    <n v="310"/>
    <n v="49.441786283891545"/>
  </r>
  <r>
    <x v="23"/>
    <x v="0"/>
    <n v="74"/>
    <n v="3.2027027027027026"/>
    <n v="41.891891891891895"/>
    <n v="43"/>
    <n v="58.108108108108105"/>
  </r>
  <r>
    <x v="23"/>
    <x v="1"/>
    <n v="20"/>
    <n v="3.25"/>
    <n v="40"/>
    <n v="12"/>
    <n v="60"/>
  </r>
  <r>
    <x v="23"/>
    <x v="2"/>
    <n v="9"/>
    <n v="3.7777777777777777"/>
    <n v="22.222222222222221"/>
    <n v="7"/>
    <n v="77.777777777777786"/>
  </r>
  <r>
    <x v="23"/>
    <x v="3"/>
    <n v="395"/>
    <n v="3.3240506329113924"/>
    <n v="44.050632911392405"/>
    <n v="221"/>
    <n v="55.949367088607595"/>
  </r>
  <r>
    <x v="23"/>
    <x v="4"/>
    <n v="394"/>
    <n v="3.4720812182741119"/>
    <n v="43.654822335025379"/>
    <n v="222"/>
    <n v="56.345177664974621"/>
  </r>
  <r>
    <x v="23"/>
    <x v="5"/>
    <n v="771"/>
    <n v="3.5006485084306096"/>
    <n v="45.136186770428019"/>
    <n v="423"/>
    <n v="54.863813229571988"/>
  </r>
  <r>
    <x v="23"/>
    <x v="6"/>
    <n v="104"/>
    <n v="3.6923076923076925"/>
    <n v="41.346153846153847"/>
    <n v="61"/>
    <n v="58.653846153846153"/>
  </r>
  <r>
    <x v="23"/>
    <x v="7"/>
    <n v="525"/>
    <n v="3.4533333333333331"/>
    <n v="44.19047619047619"/>
    <n v="293"/>
    <n v="55.80952380952381"/>
  </r>
  <r>
    <x v="23"/>
    <x v="8"/>
    <n v="13"/>
    <n v="3.6153846153846154"/>
    <n v="61.53846153846154"/>
    <n v="5"/>
    <n v="38.461538461538467"/>
  </r>
  <r>
    <x v="23"/>
    <x v="9"/>
    <n v="46"/>
    <n v="3.6956521739130435"/>
    <n v="23.913043478260871"/>
    <n v="35"/>
    <n v="76.08695652173914"/>
  </r>
  <r>
    <x v="23"/>
    <x v="10"/>
    <n v="11"/>
    <n v="4.0909090909090908"/>
    <n v="45.454545454545453"/>
    <n v="6"/>
    <n v="54.54545454545454"/>
  </r>
  <r>
    <x v="23"/>
    <x v="11"/>
    <n v="61"/>
    <n v="3.557377049180328"/>
    <n v="39.344262295081968"/>
    <n v="37"/>
    <n v="60.655737704918032"/>
  </r>
  <r>
    <x v="23"/>
    <x v="12"/>
    <n v="36"/>
    <n v="3.8611111111111112"/>
    <n v="38.888888888888893"/>
    <n v="22"/>
    <n v="61.111111111111114"/>
  </r>
  <r>
    <x v="23"/>
    <x v="13"/>
    <n v="13"/>
    <n v="3.3846153846153846"/>
    <n v="53.846153846153847"/>
    <n v="6"/>
    <n v="46.153846153846153"/>
  </r>
  <r>
    <x v="23"/>
    <x v="14"/>
    <n v="21"/>
    <n v="2.7619047619047619"/>
    <n v="57.142857142857139"/>
    <n v="9"/>
    <n v="42.857142857142854"/>
  </r>
  <r>
    <x v="23"/>
    <x v="15"/>
    <n v="11"/>
    <n v="3.7272727272727271"/>
    <n v="18.181818181818183"/>
    <n v="9"/>
    <n v="81.818181818181827"/>
  </r>
  <r>
    <x v="23"/>
    <x v="16"/>
    <n v="606"/>
    <n v="3.4207920792079207"/>
    <n v="42.244224422442244"/>
    <n v="350"/>
    <n v="57.755775577557756"/>
  </r>
  <r>
    <x v="23"/>
    <x v="17"/>
    <n v="14"/>
    <n v="3.7142857142857144"/>
    <n v="14.285714285714285"/>
    <n v="12"/>
    <n v="85.714285714285708"/>
  </r>
  <r>
    <x v="23"/>
    <x v="18"/>
    <n v="686"/>
    <n v="3.4970845481049562"/>
    <n v="43.586005830903787"/>
    <n v="387"/>
    <n v="56.413994169096213"/>
  </r>
  <r>
    <x v="23"/>
    <x v="19"/>
    <n v="336"/>
    <n v="3.3720238095238093"/>
    <n v="45.238095238095241"/>
    <n v="184"/>
    <n v="54.761904761904766"/>
  </r>
  <r>
    <x v="23"/>
    <x v="20"/>
    <n v="14"/>
    <n v="2.5714285714285716"/>
    <n v="57.142857142857139"/>
    <n v="6"/>
    <n v="42.857142857142854"/>
  </r>
  <r>
    <x v="23"/>
    <x v="21"/>
    <n v="32"/>
    <n v="3.4375"/>
    <n v="40.625"/>
    <n v="19"/>
    <n v="59.375"/>
  </r>
  <r>
    <x v="23"/>
    <x v="22"/>
    <n v="446"/>
    <n v="3.4753363228699552"/>
    <n v="44.394618834080717"/>
    <n v="248"/>
    <n v="55.60538116591929"/>
  </r>
  <r>
    <x v="23"/>
    <x v="23"/>
    <n v="631"/>
    <n v="3.4294770206022185"/>
    <n v="43.106180665610147"/>
    <n v="359"/>
    <n v="56.89381933438986"/>
  </r>
  <r>
    <x v="24"/>
    <x v="0"/>
    <n v="64"/>
    <n v="3.828125"/>
    <n v="40.625"/>
    <n v="38"/>
    <n v="59.375"/>
  </r>
  <r>
    <x v="24"/>
    <x v="1"/>
    <n v="24"/>
    <n v="3.75"/>
    <n v="41.666666666666671"/>
    <n v="14"/>
    <n v="58.333333333333336"/>
  </r>
  <r>
    <x v="24"/>
    <x v="2"/>
    <n v="11"/>
    <n v="3.4545454545454546"/>
    <n v="36.363636363636367"/>
    <n v="7"/>
    <n v="63.636363636363633"/>
  </r>
  <r>
    <x v="24"/>
    <x v="3"/>
    <n v="425"/>
    <n v="3.4235294117647057"/>
    <n v="49.882352941176471"/>
    <n v="213"/>
    <n v="50.117647058823536"/>
  </r>
  <r>
    <x v="24"/>
    <x v="4"/>
    <n v="403"/>
    <n v="3.5682382133995039"/>
    <n v="48.635235732009924"/>
    <n v="207"/>
    <n v="51.364764267990068"/>
  </r>
  <r>
    <x v="24"/>
    <x v="5"/>
    <n v="757"/>
    <n v="3.5838837516512552"/>
    <n v="47.6882430647292"/>
    <n v="396"/>
    <n v="52.3117569352708"/>
  </r>
  <r>
    <x v="24"/>
    <x v="6"/>
    <n v="95"/>
    <n v="3.5263157894736841"/>
    <n v="47.368421052631575"/>
    <n v="50"/>
    <n v="52.631578947368418"/>
  </r>
  <r>
    <x v="24"/>
    <x v="7"/>
    <n v="503"/>
    <n v="3.6083499005964215"/>
    <n v="43.141153081510936"/>
    <n v="286"/>
    <n v="56.858846918489071"/>
  </r>
  <r>
    <x v="24"/>
    <x v="8"/>
    <n v="11"/>
    <n v="3.5454545454545454"/>
    <n v="54.54545454545454"/>
    <n v="5"/>
    <n v="45.454545454545453"/>
  </r>
  <r>
    <x v="24"/>
    <x v="9"/>
    <n v="30"/>
    <n v="3.2333333333333334"/>
    <n v="36.666666666666664"/>
    <n v="19"/>
    <n v="63.333333333333329"/>
  </r>
  <r>
    <x v="24"/>
    <x v="10"/>
    <n v="9"/>
    <n v="3.6666666666666665"/>
    <n v="55.555555555555557"/>
    <n v="4"/>
    <n v="44.444444444444443"/>
  </r>
  <r>
    <x v="24"/>
    <x v="11"/>
    <n v="54"/>
    <n v="3.2592592592592591"/>
    <n v="46.296296296296298"/>
    <n v="29"/>
    <n v="53.703703703703709"/>
  </r>
  <r>
    <x v="24"/>
    <x v="12"/>
    <n v="24"/>
    <n v="3.25"/>
    <n v="33.333333333333329"/>
    <n v="16"/>
    <n v="66.666666666666657"/>
  </r>
  <r>
    <x v="24"/>
    <x v="13"/>
    <n v="10"/>
    <n v="3.2"/>
    <n v="70"/>
    <n v="3"/>
    <n v="30"/>
  </r>
  <r>
    <x v="24"/>
    <x v="14"/>
    <n v="13"/>
    <n v="4.1538461538461542"/>
    <n v="46.153846153846153"/>
    <n v="7"/>
    <n v="53.846153846153847"/>
  </r>
  <r>
    <x v="24"/>
    <x v="15"/>
    <n v="10"/>
    <n v="3.3"/>
    <n v="50"/>
    <n v="5"/>
    <n v="50"/>
  </r>
  <r>
    <x v="24"/>
    <x v="16"/>
    <n v="614"/>
    <n v="3.5830618892508141"/>
    <n v="42.508143322475576"/>
    <n v="353"/>
    <n v="57.491856677524432"/>
  </r>
  <r>
    <x v="24"/>
    <x v="17"/>
    <n v="14"/>
    <n v="3"/>
    <n v="71.428571428571431"/>
    <n v="4"/>
    <n v="28.571428571428569"/>
  </r>
  <r>
    <x v="24"/>
    <x v="18"/>
    <n v="663"/>
    <n v="3.4841628959276019"/>
    <n v="49.62292609351433"/>
    <n v="334"/>
    <n v="50.37707390648567"/>
  </r>
  <r>
    <x v="24"/>
    <x v="19"/>
    <n v="355"/>
    <n v="3.5971830985915494"/>
    <n v="46.197183098591552"/>
    <n v="191"/>
    <n v="53.802816901408448"/>
  </r>
  <r>
    <x v="24"/>
    <x v="20"/>
    <n v="14"/>
    <n v="3.4285714285714284"/>
    <n v="35.714285714285715"/>
    <n v="9"/>
    <n v="64.285714285714292"/>
  </r>
  <r>
    <x v="24"/>
    <x v="21"/>
    <n v="28"/>
    <n v="3.9285714285714284"/>
    <n v="53.571428571428569"/>
    <n v="13"/>
    <n v="46.428571428571431"/>
  </r>
  <r>
    <x v="24"/>
    <x v="22"/>
    <n v="432"/>
    <n v="3.511574074074074"/>
    <n v="44.907407407407405"/>
    <n v="238"/>
    <n v="55.092592592592595"/>
  </r>
  <r>
    <x v="24"/>
    <x v="23"/>
    <n v="654"/>
    <n v="3.5290519877675841"/>
    <n v="48.929663608562691"/>
    <n v="334"/>
    <n v="51.070336391437309"/>
  </r>
  <r>
    <x v="25"/>
    <x v="0"/>
    <n v="59"/>
    <n v="3.4915254237288136"/>
    <n v="49.152542372881356"/>
    <n v="30"/>
    <n v="50.847457627118644"/>
  </r>
  <r>
    <x v="25"/>
    <x v="1"/>
    <n v="17"/>
    <n v="3.0588235294117645"/>
    <n v="52.941176470588239"/>
    <n v="8"/>
    <n v="47.058823529411761"/>
  </r>
  <r>
    <x v="25"/>
    <x v="2"/>
    <n v="10"/>
    <n v="3.2"/>
    <n v="50"/>
    <n v="5"/>
    <n v="50"/>
  </r>
  <r>
    <x v="25"/>
    <x v="3"/>
    <n v="422"/>
    <n v="3.5402843601895735"/>
    <n v="42.654028436018962"/>
    <n v="242"/>
    <n v="57.345971563981045"/>
  </r>
  <r>
    <x v="25"/>
    <x v="4"/>
    <n v="398"/>
    <n v="3.5276381909547738"/>
    <n v="43.21608040201005"/>
    <n v="226"/>
    <n v="56.78391959798995"/>
  </r>
  <r>
    <x v="25"/>
    <x v="5"/>
    <n v="696"/>
    <n v="3.4080459770114944"/>
    <n v="46.695402298850574"/>
    <n v="371"/>
    <n v="53.304597701149426"/>
  </r>
  <r>
    <x v="25"/>
    <x v="6"/>
    <n v="101"/>
    <n v="3.2970297029702968"/>
    <n v="42.574257425742573"/>
    <n v="58"/>
    <n v="57.42574257425742"/>
  </r>
  <r>
    <x v="25"/>
    <x v="7"/>
    <n v="481"/>
    <n v="3.5280665280665282"/>
    <n v="44.07484407484408"/>
    <n v="269"/>
    <n v="55.92515592515592"/>
  </r>
  <r>
    <x v="25"/>
    <x v="8"/>
    <n v="9"/>
    <n v="4.1111111111111107"/>
    <n v="33.333333333333329"/>
    <n v="6"/>
    <n v="66.666666666666657"/>
  </r>
  <r>
    <x v="25"/>
    <x v="9"/>
    <n v="40"/>
    <n v="3.35"/>
    <n v="47.5"/>
    <n v="21"/>
    <n v="52.5"/>
  </r>
  <r>
    <x v="25"/>
    <x v="10"/>
    <n v="9"/>
    <n v="3.6666666666666665"/>
    <n v="44.444444444444443"/>
    <n v="5"/>
    <n v="55.555555555555557"/>
  </r>
  <r>
    <x v="25"/>
    <x v="11"/>
    <n v="48"/>
    <n v="3.7291666666666665"/>
    <n v="31.25"/>
    <n v="33"/>
    <n v="68.75"/>
  </r>
  <r>
    <x v="25"/>
    <x v="12"/>
    <n v="29"/>
    <n v="3.7586206896551726"/>
    <n v="44.827586206896555"/>
    <n v="16"/>
    <n v="55.172413793103445"/>
  </r>
  <r>
    <x v="25"/>
    <x v="13"/>
    <n v="15"/>
    <n v="3.6666666666666665"/>
    <n v="40"/>
    <n v="9"/>
    <n v="60"/>
  </r>
  <r>
    <x v="25"/>
    <x v="14"/>
    <n v="22"/>
    <n v="3.2272727272727271"/>
    <n v="31.818181818181817"/>
    <n v="15"/>
    <n v="68.181818181818173"/>
  </r>
  <r>
    <x v="25"/>
    <x v="15"/>
    <n v="7"/>
    <n v="3.4285714285714284"/>
    <n v="57.142857142857139"/>
    <n v="3"/>
    <n v="42.857142857142854"/>
  </r>
  <r>
    <x v="25"/>
    <x v="16"/>
    <n v="578"/>
    <n v="3.4342560553633219"/>
    <n v="46.193771626297583"/>
    <n v="311"/>
    <n v="53.806228373702425"/>
  </r>
  <r>
    <x v="25"/>
    <x v="17"/>
    <n v="14"/>
    <n v="3.1428571428571428"/>
    <n v="42.857142857142854"/>
    <n v="8"/>
    <n v="57.142857142857139"/>
  </r>
  <r>
    <x v="25"/>
    <x v="18"/>
    <n v="579"/>
    <n v="3.5509499136442142"/>
    <n v="46.804835924006909"/>
    <n v="308"/>
    <n v="53.195164075993098"/>
  </r>
  <r>
    <x v="25"/>
    <x v="19"/>
    <n v="268"/>
    <n v="3.33955223880597"/>
    <n v="48.134328358208954"/>
    <n v="139"/>
    <n v="51.865671641791046"/>
  </r>
  <r>
    <x v="25"/>
    <x v="20"/>
    <n v="13"/>
    <n v="4.7692307692307692"/>
    <n v="23.076923076923077"/>
    <n v="10"/>
    <n v="76.923076923076934"/>
  </r>
  <r>
    <x v="25"/>
    <x v="21"/>
    <n v="24"/>
    <n v="3.125"/>
    <n v="50"/>
    <n v="12"/>
    <n v="50"/>
  </r>
  <r>
    <x v="25"/>
    <x v="22"/>
    <n v="443"/>
    <n v="3.4650112866817158"/>
    <n v="48.984198645598191"/>
    <n v="226"/>
    <n v="51.015801354401802"/>
  </r>
  <r>
    <x v="25"/>
    <x v="23"/>
    <n v="624"/>
    <n v="3.483974358974359"/>
    <n v="46.794871794871796"/>
    <n v="332"/>
    <n v="53.205128205128204"/>
  </r>
  <r>
    <x v="26"/>
    <x v="0"/>
    <n v="69"/>
    <n v="3.6086956521739131"/>
    <n v="52.173913043478258"/>
    <n v="33"/>
    <n v="47.826086956521742"/>
  </r>
  <r>
    <x v="26"/>
    <x v="1"/>
    <n v="28"/>
    <n v="3.5"/>
    <n v="32.142857142857146"/>
    <n v="19"/>
    <n v="67.857142857142861"/>
  </r>
  <r>
    <x v="26"/>
    <x v="2"/>
    <n v="9"/>
    <n v="3.5555555555555554"/>
    <n v="44.444444444444443"/>
    <n v="5"/>
    <n v="55.555555555555557"/>
  </r>
  <r>
    <x v="26"/>
    <x v="3"/>
    <n v="450"/>
    <n v="3.5622222222222222"/>
    <n v="41.777777777777779"/>
    <n v="262"/>
    <n v="58.222222222222221"/>
  </r>
  <r>
    <x v="26"/>
    <x v="4"/>
    <n v="361"/>
    <n v="3.4875346260387809"/>
    <n v="42.659279778393348"/>
    <n v="207"/>
    <n v="57.340720221606645"/>
  </r>
  <r>
    <x v="26"/>
    <x v="5"/>
    <n v="756"/>
    <n v="3.4497354497354498"/>
    <n v="46.825396825396822"/>
    <n v="402"/>
    <n v="53.174603174603178"/>
  </r>
  <r>
    <x v="26"/>
    <x v="6"/>
    <n v="116"/>
    <n v="3.5603448275862069"/>
    <n v="40.517241379310342"/>
    <n v="69"/>
    <n v="59.482758620689658"/>
  </r>
  <r>
    <x v="26"/>
    <x v="7"/>
    <n v="516"/>
    <n v="3.4786821705426356"/>
    <n v="48.643410852713174"/>
    <n v="265"/>
    <n v="51.356589147286826"/>
  </r>
  <r>
    <x v="26"/>
    <x v="8"/>
    <n v="11"/>
    <n v="2.0909090909090908"/>
    <n v="63.636363636363633"/>
    <n v="4"/>
    <n v="36.363636363636367"/>
  </r>
  <r>
    <x v="26"/>
    <x v="9"/>
    <n v="40"/>
    <n v="3.5"/>
    <n v="45"/>
    <n v="22"/>
    <n v="55.000000000000007"/>
  </r>
  <r>
    <x v="26"/>
    <x v="10"/>
    <n v="7"/>
    <n v="3"/>
    <n v="28.571428571428569"/>
    <n v="5"/>
    <n v="71.428571428571431"/>
  </r>
  <r>
    <x v="26"/>
    <x v="11"/>
    <n v="46"/>
    <n v="3.6086956521739131"/>
    <n v="43.478260869565219"/>
    <n v="26"/>
    <n v="56.521739130434781"/>
  </r>
  <r>
    <x v="26"/>
    <x v="12"/>
    <n v="34"/>
    <n v="3.4117647058823528"/>
    <n v="44.117647058823529"/>
    <n v="19"/>
    <n v="55.882352941176471"/>
  </r>
  <r>
    <x v="26"/>
    <x v="13"/>
    <n v="8"/>
    <n v="3.25"/>
    <n v="62.5"/>
    <n v="3"/>
    <n v="37.5"/>
  </r>
  <r>
    <x v="26"/>
    <x v="14"/>
    <n v="17"/>
    <n v="3.2941176470588234"/>
    <n v="41.17647058823529"/>
    <n v="10"/>
    <n v="58.82352941176471"/>
  </r>
  <r>
    <x v="26"/>
    <x v="15"/>
    <n v="12"/>
    <n v="4.5"/>
    <n v="33.333333333333329"/>
    <n v="8"/>
    <n v="66.666666666666657"/>
  </r>
  <r>
    <x v="26"/>
    <x v="16"/>
    <n v="592"/>
    <n v="3.4864864864864864"/>
    <n v="42.398648648648653"/>
    <n v="341"/>
    <n v="57.601351351351347"/>
  </r>
  <r>
    <x v="26"/>
    <x v="17"/>
    <n v="11"/>
    <n v="3.4545454545454546"/>
    <n v="45.454545454545453"/>
    <n v="6"/>
    <n v="54.54545454545454"/>
  </r>
  <r>
    <x v="26"/>
    <x v="18"/>
    <n v="726"/>
    <n v="3.4173553719008263"/>
    <n v="46.418732782369148"/>
    <n v="389"/>
    <n v="53.58126721763086"/>
  </r>
  <r>
    <x v="26"/>
    <x v="19"/>
    <n v="347"/>
    <n v="3.5850144092219018"/>
    <n v="44.380403458213259"/>
    <n v="193"/>
    <n v="55.619596541786741"/>
  </r>
  <r>
    <x v="26"/>
    <x v="20"/>
    <n v="9"/>
    <n v="3.4444444444444446"/>
    <n v="44.444444444444443"/>
    <n v="5"/>
    <n v="55.555555555555557"/>
  </r>
  <r>
    <x v="26"/>
    <x v="21"/>
    <n v="32"/>
    <n v="3.25"/>
    <n v="40.625"/>
    <n v="19"/>
    <n v="59.375"/>
  </r>
  <r>
    <x v="26"/>
    <x v="22"/>
    <n v="495"/>
    <n v="3.2404040404040404"/>
    <n v="47.070707070707066"/>
    <n v="262"/>
    <n v="52.929292929292927"/>
  </r>
  <r>
    <x v="26"/>
    <x v="23"/>
    <n v="655"/>
    <n v="3.4167938931297708"/>
    <n v="47.63358778625954"/>
    <n v="343"/>
    <n v="52.366412213740453"/>
  </r>
  <r>
    <x v="27"/>
    <x v="0"/>
    <n v="49"/>
    <n v="3.4489795918367347"/>
    <n v="38.775510204081634"/>
    <n v="30"/>
    <n v="61.224489795918366"/>
  </r>
  <r>
    <x v="27"/>
    <x v="24"/>
    <n v="2"/>
    <n v="3"/>
    <n v="100"/>
    <n v="0"/>
    <n v="0"/>
  </r>
  <r>
    <x v="27"/>
    <x v="1"/>
    <n v="21"/>
    <n v="3.1904761904761907"/>
    <n v="66.666666666666657"/>
    <n v="7"/>
    <n v="33.333333333333329"/>
  </r>
  <r>
    <x v="27"/>
    <x v="2"/>
    <n v="14"/>
    <n v="3.7142857142857144"/>
    <n v="35.714285714285715"/>
    <n v="9"/>
    <n v="64.285714285714292"/>
  </r>
  <r>
    <x v="27"/>
    <x v="3"/>
    <n v="436"/>
    <n v="3.6238532110091741"/>
    <n v="42.88990825688073"/>
    <n v="249"/>
    <n v="57.110091743119263"/>
  </r>
  <r>
    <x v="27"/>
    <x v="4"/>
    <n v="355"/>
    <n v="3.6225352112676057"/>
    <n v="42.25352112676056"/>
    <n v="205"/>
    <n v="57.74647887323944"/>
  </r>
  <r>
    <x v="27"/>
    <x v="5"/>
    <n v="743"/>
    <n v="3.4145356662180348"/>
    <n v="45.625841184387617"/>
    <n v="404"/>
    <n v="54.374158815612383"/>
  </r>
  <r>
    <x v="27"/>
    <x v="6"/>
    <n v="76"/>
    <n v="3.2894736842105261"/>
    <n v="48.684210526315788"/>
    <n v="39"/>
    <n v="51.315789473684212"/>
  </r>
  <r>
    <x v="27"/>
    <x v="7"/>
    <n v="517"/>
    <n v="3.6441005802707931"/>
    <n v="45.454545454545453"/>
    <n v="282"/>
    <n v="54.54545454545454"/>
  </r>
  <r>
    <x v="27"/>
    <x v="8"/>
    <n v="3"/>
    <n v="3.3333333333333335"/>
    <n v="33.333333333333329"/>
    <n v="2"/>
    <n v="66.666666666666657"/>
  </r>
  <r>
    <x v="27"/>
    <x v="9"/>
    <n v="36"/>
    <n v="3.5277777777777777"/>
    <n v="36.111111111111107"/>
    <n v="23"/>
    <n v="63.888888888888886"/>
  </r>
  <r>
    <x v="27"/>
    <x v="10"/>
    <n v="25"/>
    <n v="3.28"/>
    <n v="52"/>
    <n v="12"/>
    <n v="48"/>
  </r>
  <r>
    <x v="27"/>
    <x v="25"/>
    <n v="4"/>
    <n v="4"/>
    <n v="25"/>
    <n v="3"/>
    <n v="75"/>
  </r>
  <r>
    <x v="27"/>
    <x v="11"/>
    <n v="36"/>
    <n v="3.8055555555555554"/>
    <n v="44.444444444444443"/>
    <n v="20"/>
    <n v="55.555555555555557"/>
  </r>
  <r>
    <x v="27"/>
    <x v="12"/>
    <n v="28"/>
    <n v="3.3928571428571428"/>
    <n v="39.285714285714285"/>
    <n v="17"/>
    <n v="60.714285714285708"/>
  </r>
  <r>
    <x v="27"/>
    <x v="13"/>
    <n v="23"/>
    <n v="4.0869565217391308"/>
    <n v="39.130434782608695"/>
    <n v="14"/>
    <n v="60.869565217391312"/>
  </r>
  <r>
    <x v="27"/>
    <x v="14"/>
    <n v="12"/>
    <n v="1.8333333333333333"/>
    <n v="75"/>
    <n v="3"/>
    <n v="25"/>
  </r>
  <r>
    <x v="27"/>
    <x v="15"/>
    <n v="25"/>
    <n v="3.32"/>
    <n v="48"/>
    <n v="13"/>
    <n v="52"/>
  </r>
  <r>
    <x v="27"/>
    <x v="16"/>
    <n v="615"/>
    <n v="3.5560975609756098"/>
    <n v="46.991869918699187"/>
    <n v="326"/>
    <n v="53.008130081300806"/>
  </r>
  <r>
    <x v="27"/>
    <x v="26"/>
    <n v="17"/>
    <n v="4.2941176470588234"/>
    <n v="47.058823529411761"/>
    <n v="9"/>
    <n v="52.941176470588239"/>
  </r>
  <r>
    <x v="27"/>
    <x v="17"/>
    <n v="12"/>
    <n v="4.083333333333333"/>
    <n v="41.666666666666671"/>
    <n v="7"/>
    <n v="58.333333333333336"/>
  </r>
  <r>
    <x v="27"/>
    <x v="18"/>
    <n v="664"/>
    <n v="3.5331325301204819"/>
    <n v="46.385542168674696"/>
    <n v="356"/>
    <n v="53.614457831325304"/>
  </r>
  <r>
    <x v="27"/>
    <x v="27"/>
    <n v="15"/>
    <n v="3.6"/>
    <n v="20"/>
    <n v="12"/>
    <n v="80"/>
  </r>
  <r>
    <x v="27"/>
    <x v="19"/>
    <n v="345"/>
    <n v="3.5304347826086957"/>
    <n v="47.246376811594203"/>
    <n v="182"/>
    <n v="52.753623188405797"/>
  </r>
  <r>
    <x v="27"/>
    <x v="28"/>
    <n v="6"/>
    <n v="3.8333333333333335"/>
    <n v="66.666666666666657"/>
    <n v="2"/>
    <n v="33.333333333333329"/>
  </r>
  <r>
    <x v="27"/>
    <x v="29"/>
    <n v="4"/>
    <n v="4.75"/>
    <n v="50"/>
    <n v="2"/>
    <n v="50"/>
  </r>
  <r>
    <x v="27"/>
    <x v="20"/>
    <n v="8"/>
    <n v="3.25"/>
    <n v="75"/>
    <n v="2"/>
    <n v="25"/>
  </r>
  <r>
    <x v="27"/>
    <x v="21"/>
    <n v="34"/>
    <n v="3.6176470588235294"/>
    <n v="35.294117647058826"/>
    <n v="22"/>
    <n v="64.705882352941174"/>
  </r>
  <r>
    <x v="27"/>
    <x v="22"/>
    <n v="481"/>
    <n v="3.4365904365904365"/>
    <n v="46.569646569646572"/>
    <n v="257"/>
    <n v="53.430353430353428"/>
  </r>
  <r>
    <x v="27"/>
    <x v="23"/>
    <n v="593"/>
    <n v="3.5025295109612142"/>
    <n v="44.182124789207421"/>
    <n v="331"/>
    <n v="55.817875210792579"/>
  </r>
  <r>
    <x v="27"/>
    <x v="30"/>
    <n v="13"/>
    <n v="3.9230769230769229"/>
    <n v="23.076923076923077"/>
    <n v="10"/>
    <n v="76.923076923076934"/>
  </r>
  <r>
    <x v="28"/>
    <x v="24"/>
    <n v="18"/>
    <n v="4.3888888888888893"/>
    <n v="33.333333333333329"/>
    <n v="12"/>
    <n v="66.666666666666657"/>
  </r>
  <r>
    <x v="28"/>
    <x v="1"/>
    <n v="15"/>
    <n v="3.9333333333333331"/>
    <n v="26.666666666666668"/>
    <n v="11"/>
    <n v="73.333333333333329"/>
  </r>
  <r>
    <x v="28"/>
    <x v="2"/>
    <n v="21"/>
    <n v="3.5714285714285716"/>
    <n v="61.904761904761905"/>
    <n v="8"/>
    <n v="38.095238095238095"/>
  </r>
  <r>
    <x v="28"/>
    <x v="3"/>
    <n v="451"/>
    <n v="3.4412416851441243"/>
    <n v="45.232815964523283"/>
    <n v="247"/>
    <n v="54.767184035476724"/>
  </r>
  <r>
    <x v="28"/>
    <x v="4"/>
    <n v="360"/>
    <n v="3.2416666666666667"/>
    <n v="49.444444444444443"/>
    <n v="182"/>
    <n v="50.555555555555557"/>
  </r>
  <r>
    <x v="28"/>
    <x v="5"/>
    <n v="733"/>
    <n v="3.4174624829467941"/>
    <n v="46.657571623465209"/>
    <n v="391"/>
    <n v="53.342428376534791"/>
  </r>
  <r>
    <x v="28"/>
    <x v="7"/>
    <n v="534"/>
    <n v="3.398876404494382"/>
    <n v="44.382022471910112"/>
    <n v="297"/>
    <n v="55.617977528089888"/>
  </r>
  <r>
    <x v="28"/>
    <x v="10"/>
    <n v="22"/>
    <n v="3.4545454545454546"/>
    <n v="50"/>
    <n v="11"/>
    <n v="50"/>
  </r>
  <r>
    <x v="28"/>
    <x v="25"/>
    <n v="18"/>
    <n v="3.2222222222222223"/>
    <n v="27.777777777777779"/>
    <n v="13"/>
    <n v="72.222222222222214"/>
  </r>
  <r>
    <x v="28"/>
    <x v="12"/>
    <n v="48"/>
    <n v="3.3541666666666665"/>
    <n v="52.083333333333336"/>
    <n v="23"/>
    <n v="47.916666666666671"/>
  </r>
  <r>
    <x v="28"/>
    <x v="13"/>
    <n v="42"/>
    <n v="3.1904761904761907"/>
    <n v="54.761904761904766"/>
    <n v="19"/>
    <n v="45.238095238095241"/>
  </r>
  <r>
    <x v="28"/>
    <x v="15"/>
    <n v="25"/>
    <n v="3.2"/>
    <n v="60"/>
    <n v="10"/>
    <n v="40"/>
  </r>
  <r>
    <x v="28"/>
    <x v="16"/>
    <n v="589"/>
    <n v="3.4889643463497455"/>
    <n v="43.463497453310694"/>
    <n v="333"/>
    <n v="56.536502546689306"/>
  </r>
  <r>
    <x v="28"/>
    <x v="26"/>
    <n v="66"/>
    <n v="3.5151515151515151"/>
    <n v="43.939393939393938"/>
    <n v="37"/>
    <n v="56.060606060606055"/>
  </r>
  <r>
    <x v="28"/>
    <x v="17"/>
    <n v="18"/>
    <n v="3.3888888888888888"/>
    <n v="44.444444444444443"/>
    <n v="10"/>
    <n v="55.555555555555557"/>
  </r>
  <r>
    <x v="28"/>
    <x v="18"/>
    <n v="740"/>
    <n v="3.4148648648648647"/>
    <n v="44.054054054054056"/>
    <n v="414"/>
    <n v="55.945945945945944"/>
  </r>
  <r>
    <x v="28"/>
    <x v="27"/>
    <n v="68"/>
    <n v="3.5735294117647061"/>
    <n v="44.117647058823529"/>
    <n v="38"/>
    <n v="55.882352941176471"/>
  </r>
  <r>
    <x v="28"/>
    <x v="19"/>
    <n v="347"/>
    <n v="3.4755043227665707"/>
    <n v="46.97406340057637"/>
    <n v="184"/>
    <n v="53.02593659942363"/>
  </r>
  <r>
    <x v="28"/>
    <x v="28"/>
    <n v="35"/>
    <n v="3.3142857142857145"/>
    <n v="54.285714285714285"/>
    <n v="16"/>
    <n v="45.714285714285715"/>
  </r>
  <r>
    <x v="28"/>
    <x v="29"/>
    <n v="7"/>
    <n v="3.8571428571428572"/>
    <n v="14.285714285714285"/>
    <n v="6"/>
    <n v="85.714285714285708"/>
  </r>
  <r>
    <x v="28"/>
    <x v="21"/>
    <n v="18"/>
    <n v="3.8333333333333335"/>
    <n v="50"/>
    <n v="9"/>
    <n v="50"/>
  </r>
  <r>
    <x v="28"/>
    <x v="22"/>
    <n v="485"/>
    <n v="3.4453608247422682"/>
    <n v="45.154639175257735"/>
    <n v="266"/>
    <n v="54.845360824742272"/>
  </r>
  <r>
    <x v="28"/>
    <x v="23"/>
    <n v="617"/>
    <n v="3.4489465153970826"/>
    <n v="46.191247974068069"/>
    <n v="332"/>
    <n v="53.808752025931931"/>
  </r>
  <r>
    <x v="28"/>
    <x v="30"/>
    <n v="40"/>
    <n v="3.8250000000000002"/>
    <n v="45"/>
    <n v="22"/>
    <n v="55.000000000000007"/>
  </r>
  <r>
    <x v="29"/>
    <x v="24"/>
    <n v="10"/>
    <n v="2.9"/>
    <n v="40"/>
    <n v="6"/>
    <n v="60"/>
  </r>
  <r>
    <x v="29"/>
    <x v="1"/>
    <n v="12"/>
    <n v="3.4166666666666665"/>
    <n v="50"/>
    <n v="6"/>
    <n v="50"/>
  </r>
  <r>
    <x v="29"/>
    <x v="2"/>
    <n v="32"/>
    <n v="2.96875"/>
    <n v="50"/>
    <n v="16"/>
    <n v="50"/>
  </r>
  <r>
    <x v="29"/>
    <x v="3"/>
    <n v="410"/>
    <n v="3.5487804878048781"/>
    <n v="45.365853658536587"/>
    <n v="224"/>
    <n v="54.634146341463421"/>
  </r>
  <r>
    <x v="29"/>
    <x v="4"/>
    <n v="325"/>
    <n v="3.3876923076923076"/>
    <n v="48.923076923076927"/>
    <n v="166"/>
    <n v="51.076923076923073"/>
  </r>
  <r>
    <x v="29"/>
    <x v="5"/>
    <n v="653"/>
    <n v="3.581929555895865"/>
    <n v="43.49157733537519"/>
    <n v="369"/>
    <n v="56.508422664624817"/>
  </r>
  <r>
    <x v="29"/>
    <x v="7"/>
    <n v="524"/>
    <n v="3.5591603053435112"/>
    <n v="42.938931297709928"/>
    <n v="299"/>
    <n v="57.061068702290072"/>
  </r>
  <r>
    <x v="29"/>
    <x v="10"/>
    <n v="30"/>
    <n v="3.3"/>
    <n v="50"/>
    <n v="15"/>
    <n v="50"/>
  </r>
  <r>
    <x v="29"/>
    <x v="25"/>
    <n v="11"/>
    <n v="3.2727272727272729"/>
    <n v="18.181818181818183"/>
    <n v="9"/>
    <n v="81.818181818181827"/>
  </r>
  <r>
    <x v="29"/>
    <x v="12"/>
    <n v="45"/>
    <n v="3.0222222222222221"/>
    <n v="46.666666666666664"/>
    <n v="24"/>
    <n v="53.333333333333336"/>
  </r>
  <r>
    <x v="29"/>
    <x v="13"/>
    <n v="56"/>
    <n v="3.2142857142857144"/>
    <n v="48.214285714285715"/>
    <n v="29"/>
    <n v="51.785714285714292"/>
  </r>
  <r>
    <x v="29"/>
    <x v="15"/>
    <n v="18"/>
    <n v="3.3888888888888888"/>
    <n v="55.555555555555557"/>
    <n v="8"/>
    <n v="44.444444444444443"/>
  </r>
  <r>
    <x v="29"/>
    <x v="16"/>
    <n v="526"/>
    <n v="3.6368821292775664"/>
    <n v="43.155893536121674"/>
    <n v="299"/>
    <n v="56.844106463878333"/>
  </r>
  <r>
    <x v="29"/>
    <x v="26"/>
    <n v="59"/>
    <n v="3.2881355932203391"/>
    <n v="62.711864406779661"/>
    <n v="22"/>
    <n v="37.288135593220339"/>
  </r>
  <r>
    <x v="29"/>
    <x v="17"/>
    <n v="12"/>
    <n v="3.5"/>
    <n v="41.666666666666671"/>
    <n v="7"/>
    <n v="58.333333333333336"/>
  </r>
  <r>
    <x v="29"/>
    <x v="18"/>
    <n v="675"/>
    <n v="3.4637037037037035"/>
    <n v="48.592592592592595"/>
    <n v="347"/>
    <n v="51.407407407407412"/>
  </r>
  <r>
    <x v="29"/>
    <x v="27"/>
    <n v="59"/>
    <n v="2.9661016949152543"/>
    <n v="69.491525423728817"/>
    <n v="18"/>
    <n v="30.508474576271187"/>
  </r>
  <r>
    <x v="29"/>
    <x v="19"/>
    <n v="319"/>
    <n v="3.4482758620689653"/>
    <n v="48.275862068965516"/>
    <n v="165"/>
    <n v="51.724137931034484"/>
  </r>
  <r>
    <x v="29"/>
    <x v="28"/>
    <n v="30"/>
    <n v="4.0333333333333332"/>
    <n v="46.666666666666664"/>
    <n v="16"/>
    <n v="53.333333333333336"/>
  </r>
  <r>
    <x v="29"/>
    <x v="29"/>
    <n v="13"/>
    <n v="3.3846153846153846"/>
    <n v="61.53846153846154"/>
    <n v="5"/>
    <n v="38.461538461538467"/>
  </r>
  <r>
    <x v="29"/>
    <x v="21"/>
    <n v="9"/>
    <n v="3.3333333333333335"/>
    <n v="44.444444444444443"/>
    <n v="5"/>
    <n v="55.555555555555557"/>
  </r>
  <r>
    <x v="29"/>
    <x v="22"/>
    <n v="461"/>
    <n v="3.4229934924078091"/>
    <n v="50.325379609544477"/>
    <n v="229"/>
    <n v="49.67462039045553"/>
  </r>
  <r>
    <x v="29"/>
    <x v="23"/>
    <n v="628"/>
    <n v="3.468152866242038"/>
    <n v="45.382165605095544"/>
    <n v="343"/>
    <n v="54.617834394904463"/>
  </r>
  <r>
    <x v="29"/>
    <x v="30"/>
    <n v="34"/>
    <n v="3.5588235294117645"/>
    <n v="38.235294117647058"/>
    <n v="21"/>
    <n v="61.764705882352942"/>
  </r>
  <r>
    <x v="30"/>
    <x v="24"/>
    <n v="19"/>
    <n v="3.2105263157894739"/>
    <n v="52.631578947368418"/>
    <n v="9"/>
    <n v="47.368421052631575"/>
  </r>
  <r>
    <x v="30"/>
    <x v="1"/>
    <n v="14"/>
    <n v="3.2857142857142856"/>
    <n v="42.857142857142854"/>
    <n v="8"/>
    <n v="57.142857142857139"/>
  </r>
  <r>
    <x v="30"/>
    <x v="2"/>
    <n v="30"/>
    <n v="3.4333333333333331"/>
    <n v="63.333333333333329"/>
    <n v="11"/>
    <n v="36.666666666666664"/>
  </r>
  <r>
    <x v="30"/>
    <x v="3"/>
    <n v="431"/>
    <n v="3.4524361948955917"/>
    <n v="46.635730858468676"/>
    <n v="230"/>
    <n v="53.364269141531317"/>
  </r>
  <r>
    <x v="30"/>
    <x v="4"/>
    <n v="390"/>
    <n v="3.4923076923076923"/>
    <n v="44.61538461538462"/>
    <n v="216"/>
    <n v="55.384615384615387"/>
  </r>
  <r>
    <x v="30"/>
    <x v="5"/>
    <n v="783"/>
    <n v="3.450830140485313"/>
    <n v="44.444444444444443"/>
    <n v="435"/>
    <n v="55.555555555555557"/>
  </r>
  <r>
    <x v="30"/>
    <x v="7"/>
    <n v="545"/>
    <n v="3.381651376146789"/>
    <n v="48.073394495412849"/>
    <n v="283"/>
    <n v="51.926605504587151"/>
  </r>
  <r>
    <x v="30"/>
    <x v="10"/>
    <n v="26"/>
    <n v="3.0769230769230771"/>
    <n v="50"/>
    <n v="13"/>
    <n v="50"/>
  </r>
  <r>
    <x v="30"/>
    <x v="25"/>
    <n v="12"/>
    <n v="3.5"/>
    <n v="41.666666666666671"/>
    <n v="7"/>
    <n v="58.333333333333336"/>
  </r>
  <r>
    <x v="30"/>
    <x v="12"/>
    <n v="31"/>
    <n v="4"/>
    <n v="25.806451612903224"/>
    <n v="23"/>
    <n v="74.193548387096769"/>
  </r>
  <r>
    <x v="30"/>
    <x v="13"/>
    <n v="46"/>
    <n v="3.3043478260869565"/>
    <n v="47.826086956521742"/>
    <n v="24"/>
    <n v="52.173913043478258"/>
  </r>
  <r>
    <x v="30"/>
    <x v="15"/>
    <n v="27"/>
    <n v="3.6296296296296298"/>
    <n v="55.555555555555557"/>
    <n v="12"/>
    <n v="44.444444444444443"/>
  </r>
  <r>
    <x v="30"/>
    <x v="16"/>
    <n v="563"/>
    <n v="3.3960923623445827"/>
    <n v="44.760213143872114"/>
    <n v="311"/>
    <n v="55.239786856127878"/>
  </r>
  <r>
    <x v="30"/>
    <x v="26"/>
    <n v="65"/>
    <n v="3.9076923076923076"/>
    <n v="38.461538461538467"/>
    <n v="40"/>
    <n v="61.53846153846154"/>
  </r>
  <r>
    <x v="30"/>
    <x v="17"/>
    <n v="13"/>
    <n v="3.7692307692307692"/>
    <n v="38.461538461538467"/>
    <n v="8"/>
    <n v="61.53846153846154"/>
  </r>
  <r>
    <x v="30"/>
    <x v="18"/>
    <n v="707"/>
    <n v="3.4936350777934937"/>
    <n v="43.422913719943423"/>
    <n v="400"/>
    <n v="56.577086280056577"/>
  </r>
  <r>
    <x v="30"/>
    <x v="27"/>
    <n v="62"/>
    <n v="3.3548387096774195"/>
    <n v="61.29032258064516"/>
    <n v="24"/>
    <n v="38.70967741935484"/>
  </r>
  <r>
    <x v="30"/>
    <x v="19"/>
    <n v="352"/>
    <n v="3.2954545454545454"/>
    <n v="42.613636363636367"/>
    <n v="202"/>
    <n v="57.386363636363633"/>
  </r>
  <r>
    <x v="30"/>
    <x v="28"/>
    <n v="31"/>
    <n v="3.838709677419355"/>
    <n v="38.70967741935484"/>
    <n v="19"/>
    <n v="61.29032258064516"/>
  </r>
  <r>
    <x v="30"/>
    <x v="29"/>
    <n v="14"/>
    <n v="3.5714285714285716"/>
    <n v="50"/>
    <n v="7"/>
    <n v="50"/>
  </r>
  <r>
    <x v="30"/>
    <x v="21"/>
    <n v="15"/>
    <n v="3.4666666666666668"/>
    <n v="26.666666666666668"/>
    <n v="11"/>
    <n v="73.333333333333329"/>
  </r>
  <r>
    <x v="30"/>
    <x v="22"/>
    <n v="471"/>
    <n v="3.4076433121019107"/>
    <n v="48.195329087048833"/>
    <n v="244"/>
    <n v="51.804670912951167"/>
  </r>
  <r>
    <x v="30"/>
    <x v="23"/>
    <n v="631"/>
    <n v="3.2852614896988905"/>
    <n v="47.702060221870049"/>
    <n v="330"/>
    <n v="52.297939778129951"/>
  </r>
  <r>
    <x v="30"/>
    <x v="30"/>
    <n v="40"/>
    <n v="3.2"/>
    <n v="52.5"/>
    <n v="19"/>
    <n v="47.5"/>
  </r>
  <r>
    <x v="31"/>
    <x v="24"/>
    <n v="15"/>
    <n v="3.6"/>
    <n v="33.333333333333329"/>
    <n v="10"/>
    <n v="66.666666666666657"/>
  </r>
  <r>
    <x v="31"/>
    <x v="1"/>
    <n v="14"/>
    <n v="3.0714285714285716"/>
    <n v="42.857142857142854"/>
    <n v="8"/>
    <n v="57.142857142857139"/>
  </r>
  <r>
    <x v="31"/>
    <x v="2"/>
    <n v="33"/>
    <n v="3.8787878787878789"/>
    <n v="33.333333333333329"/>
    <n v="22"/>
    <n v="66.666666666666657"/>
  </r>
  <r>
    <x v="31"/>
    <x v="3"/>
    <n v="391"/>
    <n v="3.5319693094629154"/>
    <n v="42.966751918158572"/>
    <n v="223"/>
    <n v="57.033248081841435"/>
  </r>
  <r>
    <x v="31"/>
    <x v="4"/>
    <n v="377"/>
    <n v="3.4588859416445623"/>
    <n v="46.419098143236077"/>
    <n v="202"/>
    <n v="53.58090185676393"/>
  </r>
  <r>
    <x v="31"/>
    <x v="5"/>
    <n v="754"/>
    <n v="3.4787798408488064"/>
    <n v="43.50132625994695"/>
    <n v="426"/>
    <n v="56.49867374005305"/>
  </r>
  <r>
    <x v="31"/>
    <x v="7"/>
    <n v="548"/>
    <n v="3.4872262773722627"/>
    <n v="43.430656934306569"/>
    <n v="310"/>
    <n v="56.569343065693431"/>
  </r>
  <r>
    <x v="31"/>
    <x v="10"/>
    <n v="41"/>
    <n v="3.4634146341463414"/>
    <n v="60.975609756097562"/>
    <n v="16"/>
    <n v="39.024390243902438"/>
  </r>
  <r>
    <x v="31"/>
    <x v="25"/>
    <n v="16"/>
    <n v="3.1875"/>
    <n v="43.75"/>
    <n v="9"/>
    <n v="56.25"/>
  </r>
  <r>
    <x v="31"/>
    <x v="12"/>
    <n v="41"/>
    <n v="3.9024390243902438"/>
    <n v="39.024390243902438"/>
    <n v="25"/>
    <n v="60.975609756097562"/>
  </r>
  <r>
    <x v="31"/>
    <x v="13"/>
    <n v="46"/>
    <n v="3.652173913043478"/>
    <n v="45.652173913043477"/>
    <n v="25"/>
    <n v="54.347826086956516"/>
  </r>
  <r>
    <x v="31"/>
    <x v="15"/>
    <n v="29"/>
    <n v="2.9655172413793105"/>
    <n v="51.724137931034484"/>
    <n v="14"/>
    <n v="48.275862068965516"/>
  </r>
  <r>
    <x v="31"/>
    <x v="16"/>
    <n v="571"/>
    <n v="3.5779334500875657"/>
    <n v="43.782837127845887"/>
    <n v="321"/>
    <n v="56.217162872154113"/>
  </r>
  <r>
    <x v="31"/>
    <x v="26"/>
    <n v="67"/>
    <n v="3.3880597014925371"/>
    <n v="43.283582089552233"/>
    <n v="38"/>
    <n v="56.71641791044776"/>
  </r>
  <r>
    <x v="31"/>
    <x v="17"/>
    <n v="12"/>
    <n v="3.6666666666666665"/>
    <n v="41.666666666666671"/>
    <n v="7"/>
    <n v="58.333333333333336"/>
  </r>
  <r>
    <x v="31"/>
    <x v="18"/>
    <n v="678"/>
    <n v="3.4808259587020647"/>
    <n v="45.427728613569322"/>
    <n v="370"/>
    <n v="54.572271386430685"/>
  </r>
  <r>
    <x v="31"/>
    <x v="27"/>
    <n v="58"/>
    <n v="3.603448275862069"/>
    <n v="43.103448275862064"/>
    <n v="33"/>
    <n v="56.896551724137936"/>
  </r>
  <r>
    <x v="31"/>
    <x v="19"/>
    <n v="317"/>
    <n v="3.4353312302839116"/>
    <n v="41.640378548895903"/>
    <n v="185"/>
    <n v="58.359621451104104"/>
  </r>
  <r>
    <x v="31"/>
    <x v="28"/>
    <n v="29"/>
    <n v="3.4827586206896552"/>
    <n v="37.931034482758619"/>
    <n v="18"/>
    <n v="62.068965517241381"/>
  </r>
  <r>
    <x v="31"/>
    <x v="29"/>
    <n v="22"/>
    <n v="4.1363636363636367"/>
    <n v="31.818181818181817"/>
    <n v="15"/>
    <n v="68.181818181818173"/>
  </r>
  <r>
    <x v="31"/>
    <x v="21"/>
    <n v="25"/>
    <n v="3.88"/>
    <n v="36"/>
    <n v="16"/>
    <n v="64"/>
  </r>
  <r>
    <x v="31"/>
    <x v="22"/>
    <n v="516"/>
    <n v="3.4166666666666665"/>
    <n v="47.674418604651166"/>
    <n v="270"/>
    <n v="52.325581395348841"/>
  </r>
  <r>
    <x v="31"/>
    <x v="23"/>
    <n v="657"/>
    <n v="3.452054794520548"/>
    <n v="41.704718417047182"/>
    <n v="383"/>
    <n v="58.295281582952818"/>
  </r>
  <r>
    <x v="31"/>
    <x v="30"/>
    <n v="48"/>
    <n v="3.4583333333333335"/>
    <n v="47.916666666666671"/>
    <n v="25"/>
    <n v="52.083333333333336"/>
  </r>
  <r>
    <x v="32"/>
    <x v="24"/>
    <n v="4"/>
    <n v="4.25"/>
    <n v="50"/>
    <n v="2"/>
    <n v="50"/>
  </r>
  <r>
    <x v="32"/>
    <x v="1"/>
    <n v="5"/>
    <n v="3"/>
    <n v="40"/>
    <n v="3"/>
    <n v="60"/>
  </r>
  <r>
    <x v="32"/>
    <x v="31"/>
    <n v="59"/>
    <n v="3.3898305084745761"/>
    <n v="40.677966101694921"/>
    <n v="35"/>
    <n v="59.322033898305079"/>
  </r>
  <r>
    <x v="32"/>
    <x v="2"/>
    <n v="13"/>
    <n v="3.2307692307692308"/>
    <n v="38.461538461538467"/>
    <n v="8"/>
    <n v="61.53846153846154"/>
  </r>
  <r>
    <x v="32"/>
    <x v="3"/>
    <n v="436"/>
    <n v="3.2844036697247705"/>
    <n v="47.935779816513765"/>
    <n v="227"/>
    <n v="52.064220183486242"/>
  </r>
  <r>
    <x v="32"/>
    <x v="4"/>
    <n v="380"/>
    <n v="3.4552631578947368"/>
    <n v="47.631578947368418"/>
    <n v="199"/>
    <n v="52.368421052631575"/>
  </r>
  <r>
    <x v="32"/>
    <x v="5"/>
    <n v="730"/>
    <n v="3.3041095890410959"/>
    <n v="48.082191780821923"/>
    <n v="379"/>
    <n v="51.917808219178085"/>
  </r>
  <r>
    <x v="32"/>
    <x v="7"/>
    <n v="566"/>
    <n v="3.3639575971731448"/>
    <n v="47.879858657243815"/>
    <n v="295"/>
    <n v="52.120141342756185"/>
  </r>
  <r>
    <x v="32"/>
    <x v="8"/>
    <n v="7"/>
    <n v="3.2857142857142856"/>
    <n v="28.571428571428569"/>
    <n v="5"/>
    <n v="71.428571428571431"/>
  </r>
  <r>
    <x v="32"/>
    <x v="10"/>
    <n v="7"/>
    <n v="4.5714285714285712"/>
    <n v="28.571428571428569"/>
    <n v="5"/>
    <n v="71.428571428571431"/>
  </r>
  <r>
    <x v="32"/>
    <x v="12"/>
    <n v="51"/>
    <n v="3.7058823529411766"/>
    <n v="39.215686274509807"/>
    <n v="31"/>
    <n v="60.784313725490193"/>
  </r>
  <r>
    <x v="32"/>
    <x v="13"/>
    <n v="13"/>
    <n v="3.0769230769230771"/>
    <n v="53.846153846153847"/>
    <n v="6"/>
    <n v="46.153846153846153"/>
  </r>
  <r>
    <x v="32"/>
    <x v="14"/>
    <n v="27"/>
    <n v="3.4074074074074074"/>
    <n v="48.148148148148145"/>
    <n v="14"/>
    <n v="51.851851851851848"/>
  </r>
  <r>
    <x v="32"/>
    <x v="15"/>
    <n v="7"/>
    <n v="2.4285714285714284"/>
    <n v="57.142857142857139"/>
    <n v="3"/>
    <n v="42.857142857142854"/>
  </r>
  <r>
    <x v="32"/>
    <x v="16"/>
    <n v="553"/>
    <n v="3.4267631103074141"/>
    <n v="47.016274864376129"/>
    <n v="293"/>
    <n v="52.983725135623871"/>
  </r>
  <r>
    <x v="32"/>
    <x v="26"/>
    <n v="103"/>
    <n v="3.737864077669903"/>
    <n v="35.922330097087382"/>
    <n v="66"/>
    <n v="64.077669902912632"/>
  </r>
  <r>
    <x v="32"/>
    <x v="17"/>
    <n v="5"/>
    <n v="3.8"/>
    <n v="20"/>
    <n v="4"/>
    <n v="80"/>
  </r>
  <r>
    <x v="32"/>
    <x v="18"/>
    <n v="662"/>
    <n v="3.4864048338368581"/>
    <n v="46.676737160120844"/>
    <n v="353"/>
    <n v="53.323262839879149"/>
  </r>
  <r>
    <x v="32"/>
    <x v="27"/>
    <n v="21"/>
    <n v="3.9523809523809526"/>
    <n v="38.095238095238095"/>
    <n v="13"/>
    <n v="61.904761904761905"/>
  </r>
  <r>
    <x v="32"/>
    <x v="19"/>
    <n v="328"/>
    <n v="3.4939024390243905"/>
    <n v="45.121951219512198"/>
    <n v="180"/>
    <n v="54.878048780487809"/>
  </r>
  <r>
    <x v="32"/>
    <x v="28"/>
    <n v="7"/>
    <n v="4.1428571428571432"/>
    <n v="57.142857142857139"/>
    <n v="3"/>
    <n v="42.857142857142854"/>
  </r>
  <r>
    <x v="32"/>
    <x v="29"/>
    <n v="42"/>
    <n v="3.5714285714285716"/>
    <n v="40.476190476190474"/>
    <n v="25"/>
    <n v="59.523809523809526"/>
  </r>
  <r>
    <x v="32"/>
    <x v="21"/>
    <n v="4"/>
    <n v="4.75"/>
    <n v="25"/>
    <n v="3"/>
    <n v="75"/>
  </r>
  <r>
    <x v="32"/>
    <x v="22"/>
    <n v="512"/>
    <n v="3.322265625"/>
    <n v="43.75"/>
    <n v="288"/>
    <n v="56.25"/>
  </r>
  <r>
    <x v="32"/>
    <x v="23"/>
    <n v="641"/>
    <n v="3.5834633385335413"/>
    <n v="45.709828393135723"/>
    <n v="348"/>
    <n v="54.290171606864277"/>
  </r>
  <r>
    <x v="32"/>
    <x v="30"/>
    <n v="6"/>
    <n v="4"/>
    <n v="33.333333333333329"/>
    <n v="4"/>
    <n v="66.666666666666657"/>
  </r>
  <r>
    <x v="33"/>
    <x v="32"/>
    <n v="82"/>
    <n v="3.1341463414634148"/>
    <n v="59.756097560975604"/>
    <n v="33"/>
    <n v="40.243902439024396"/>
  </r>
  <r>
    <x v="33"/>
    <x v="31"/>
    <n v="8"/>
    <n v="4"/>
    <n v="37.5"/>
    <n v="5"/>
    <n v="62.5"/>
  </r>
  <r>
    <x v="33"/>
    <x v="33"/>
    <n v="308"/>
    <n v="3.3214285714285716"/>
    <n v="49.675324675324681"/>
    <n v="155"/>
    <n v="50.324675324675326"/>
  </r>
  <r>
    <x v="33"/>
    <x v="34"/>
    <n v="133"/>
    <n v="3.481203007518797"/>
    <n v="46.616541353383454"/>
    <n v="71"/>
    <n v="53.383458646616546"/>
  </r>
  <r>
    <x v="33"/>
    <x v="35"/>
    <n v="575"/>
    <n v="3.3286956521739128"/>
    <n v="39.652173913043477"/>
    <n v="347"/>
    <n v="60.347826086956523"/>
  </r>
  <r>
    <x v="33"/>
    <x v="3"/>
    <n v="15"/>
    <n v="3.8"/>
    <n v="53.333333333333336"/>
    <n v="7"/>
    <n v="46.666666666666664"/>
  </r>
  <r>
    <x v="33"/>
    <x v="4"/>
    <n v="22"/>
    <n v="4.2272727272727275"/>
    <n v="54.54545454545454"/>
    <n v="10"/>
    <n v="45.454545454545453"/>
  </r>
  <r>
    <x v="33"/>
    <x v="36"/>
    <n v="522"/>
    <n v="3.5900383141762453"/>
    <n v="45.019157088122611"/>
    <n v="287"/>
    <n v="54.980842911877389"/>
  </r>
  <r>
    <x v="33"/>
    <x v="5"/>
    <n v="37"/>
    <n v="3.7297297297297298"/>
    <n v="59.45945945945946"/>
    <n v="15"/>
    <n v="40.54054054054054"/>
  </r>
  <r>
    <x v="33"/>
    <x v="37"/>
    <n v="350"/>
    <n v="3.577142857142857"/>
    <n v="48.571428571428569"/>
    <n v="180"/>
    <n v="51.428571428571423"/>
  </r>
  <r>
    <x v="33"/>
    <x v="38"/>
    <n v="49"/>
    <n v="3.5918367346938775"/>
    <n v="42.857142857142854"/>
    <n v="28"/>
    <n v="57.142857142857139"/>
  </r>
  <r>
    <x v="33"/>
    <x v="7"/>
    <n v="17"/>
    <n v="3.5882352941176472"/>
    <n v="47.058823529411761"/>
    <n v="9"/>
    <n v="52.941176470588239"/>
  </r>
  <r>
    <x v="33"/>
    <x v="8"/>
    <n v="3"/>
    <n v="4"/>
    <n v="66.666666666666657"/>
    <n v="1"/>
    <n v="33.333333333333329"/>
  </r>
  <r>
    <x v="33"/>
    <x v="16"/>
    <n v="25"/>
    <n v="4.4000000000000004"/>
    <n v="32"/>
    <n v="17"/>
    <n v="68"/>
  </r>
  <r>
    <x v="33"/>
    <x v="26"/>
    <n v="7"/>
    <n v="3"/>
    <n v="57.142857142857139"/>
    <n v="3"/>
    <n v="42.857142857142854"/>
  </r>
  <r>
    <x v="33"/>
    <x v="18"/>
    <n v="32"/>
    <n v="3.5"/>
    <n v="56.25"/>
    <n v="14"/>
    <n v="43.75"/>
  </r>
  <r>
    <x v="33"/>
    <x v="19"/>
    <n v="9"/>
    <n v="3.4444444444444446"/>
    <n v="44.444444444444443"/>
    <n v="5"/>
    <n v="55.555555555555557"/>
  </r>
  <r>
    <x v="33"/>
    <x v="29"/>
    <n v="9"/>
    <n v="3.6666666666666665"/>
    <n v="55.555555555555557"/>
    <n v="4"/>
    <n v="44.444444444444443"/>
  </r>
  <r>
    <x v="33"/>
    <x v="22"/>
    <n v="25"/>
    <n v="3.76"/>
    <n v="64"/>
    <n v="9"/>
    <n v="36"/>
  </r>
  <r>
    <x v="33"/>
    <x v="23"/>
    <n v="27"/>
    <n v="3.4814814814814814"/>
    <n v="51.851851851851848"/>
    <n v="13"/>
    <n v="48.148148148148145"/>
  </r>
  <r>
    <x v="34"/>
    <x v="38"/>
    <n v="236"/>
    <n v="3.2838983050847457"/>
    <n v="45.33898305084746"/>
    <n v="129"/>
    <n v="54.66101694915254"/>
  </r>
  <r>
    <x v="34"/>
    <x v="39"/>
    <n v="231"/>
    <n v="3.5974025974025974"/>
    <n v="42.857142857142854"/>
    <n v="132"/>
    <n v="57.142857142857139"/>
  </r>
  <r>
    <x v="34"/>
    <x v="40"/>
    <n v="367"/>
    <n v="3.6049046321525884"/>
    <n v="46.594005449591279"/>
    <n v="196"/>
    <n v="53.405994550408721"/>
  </r>
  <r>
    <x v="34"/>
    <x v="41"/>
    <n v="388"/>
    <n v="3.4304123711340204"/>
    <n v="47.680412371134025"/>
    <n v="203"/>
    <n v="52.319587628865982"/>
  </r>
  <r>
    <x v="34"/>
    <x v="42"/>
    <n v="239"/>
    <n v="3.5313807531380754"/>
    <n v="43.096234309623433"/>
    <n v="136"/>
    <n v="56.903765690376574"/>
  </r>
  <r>
    <x v="34"/>
    <x v="43"/>
    <n v="177"/>
    <n v="3.5593220338983049"/>
    <n v="48.587570621468927"/>
    <n v="91"/>
    <n v="51.41242937853108"/>
  </r>
  <r>
    <x v="34"/>
    <x v="44"/>
    <n v="290"/>
    <n v="3.4413793103448276"/>
    <n v="42.758620689655174"/>
    <n v="166"/>
    <n v="57.241379310344833"/>
  </r>
  <r>
    <x v="34"/>
    <x v="45"/>
    <n v="127"/>
    <n v="3.4724409448818898"/>
    <n v="40.15748031496063"/>
    <n v="76"/>
    <n v="59.842519685039377"/>
  </r>
  <r>
    <x v="35"/>
    <x v="32"/>
    <n v="125"/>
    <n v="3.04"/>
    <n v="48"/>
    <n v="65"/>
    <n v="52"/>
  </r>
  <r>
    <x v="35"/>
    <x v="33"/>
    <n v="97"/>
    <n v="3.268041237113402"/>
    <n v="53.608247422680414"/>
    <n v="45"/>
    <n v="46.391752577319586"/>
  </r>
  <r>
    <x v="35"/>
    <x v="34"/>
    <n v="138"/>
    <n v="3.3695652173913042"/>
    <n v="50.724637681159422"/>
    <n v="68"/>
    <n v="49.275362318840585"/>
  </r>
  <r>
    <x v="35"/>
    <x v="35"/>
    <n v="17"/>
    <n v="3.1764705882352939"/>
    <n v="29.411764705882355"/>
    <n v="12"/>
    <n v="70.588235294117652"/>
  </r>
  <r>
    <x v="35"/>
    <x v="36"/>
    <n v="130"/>
    <n v="3.5846153846153848"/>
    <n v="46.153846153846153"/>
    <n v="70"/>
    <n v="53.846153846153847"/>
  </r>
  <r>
    <x v="35"/>
    <x v="37"/>
    <n v="92"/>
    <n v="3.7282608695652173"/>
    <n v="45.652173913043477"/>
    <n v="50"/>
    <n v="54.347826086956516"/>
  </r>
  <r>
    <x v="35"/>
    <x v="38"/>
    <n v="146"/>
    <n v="3.4863013698630136"/>
    <n v="45.890410958904113"/>
    <n v="79"/>
    <n v="54.109589041095894"/>
  </r>
  <r>
    <x v="35"/>
    <x v="39"/>
    <n v="253"/>
    <n v="3.5375494071146245"/>
    <n v="40.711462450592883"/>
    <n v="150"/>
    <n v="59.288537549407117"/>
  </r>
  <r>
    <x v="35"/>
    <x v="40"/>
    <n v="109"/>
    <n v="3.761467889908257"/>
    <n v="48.623853211009177"/>
    <n v="56"/>
    <n v="51.37614678899083"/>
  </r>
  <r>
    <x v="35"/>
    <x v="45"/>
    <n v="119"/>
    <n v="3.2605042016806722"/>
    <n v="42.016806722689076"/>
    <n v="69"/>
    <n v="57.983193277310932"/>
  </r>
  <r>
    <x v="35"/>
    <x v="46"/>
    <n v="145"/>
    <n v="3.5448275862068965"/>
    <n v="45.517241379310349"/>
    <n v="79"/>
    <n v="54.482758620689651"/>
  </r>
  <r>
    <x v="35"/>
    <x v="47"/>
    <n v="253"/>
    <n v="3.3794466403162056"/>
    <n v="41.106719367588937"/>
    <n v="149"/>
    <n v="58.89328063241107"/>
  </r>
  <r>
    <x v="35"/>
    <x v="48"/>
    <n v="228"/>
    <n v="3.6447368421052633"/>
    <n v="49.561403508771932"/>
    <n v="115"/>
    <n v="50.438596491228068"/>
  </r>
  <r>
    <x v="35"/>
    <x v="49"/>
    <n v="272"/>
    <n v="3.3897058823529411"/>
    <n v="46.32352941176471"/>
    <n v="146"/>
    <n v="53.67647058823529"/>
  </r>
  <r>
    <x v="36"/>
    <x v="40"/>
    <n v="7"/>
    <n v="2"/>
    <n v="0"/>
    <n v="7"/>
    <n v="100"/>
  </r>
  <r>
    <x v="36"/>
    <x v="41"/>
    <n v="96"/>
    <n v="3.6145833333333335"/>
    <n v="39.583333333333329"/>
    <n v="58"/>
    <n v="60.416666666666664"/>
  </r>
  <r>
    <x v="36"/>
    <x v="42"/>
    <n v="123"/>
    <n v="3.2764227642276422"/>
    <n v="42.276422764227647"/>
    <n v="71"/>
    <n v="57.72357723577236"/>
  </r>
  <r>
    <x v="36"/>
    <x v="43"/>
    <n v="31"/>
    <n v="2.4516129032258065"/>
    <n v="32.258064516129032"/>
    <n v="21"/>
    <n v="67.741935483870961"/>
  </r>
  <r>
    <x v="36"/>
    <x v="44"/>
    <n v="144"/>
    <n v="3.4861111111111112"/>
    <n v="44.444444444444443"/>
    <n v="80"/>
    <n v="55.555555555555557"/>
  </r>
  <r>
    <x v="36"/>
    <x v="45"/>
    <n v="246"/>
    <n v="3.3130081300813008"/>
    <n v="45.528455284552841"/>
    <n v="134"/>
    <n v="54.471544715447152"/>
  </r>
  <r>
    <x v="36"/>
    <x v="46"/>
    <n v="212"/>
    <n v="3.3962264150943398"/>
    <n v="41.981132075471699"/>
    <n v="123"/>
    <n v="58.018867924528308"/>
  </r>
  <r>
    <x v="36"/>
    <x v="47"/>
    <n v="276"/>
    <n v="3.6086956521739131"/>
    <n v="45.652173913043477"/>
    <n v="150"/>
    <n v="54.347826086956516"/>
  </r>
  <r>
    <x v="36"/>
    <x v="48"/>
    <n v="610"/>
    <n v="3.5311475409836066"/>
    <n v="45.409836065573771"/>
    <n v="333"/>
    <n v="54.590163934426229"/>
  </r>
  <r>
    <x v="36"/>
    <x v="49"/>
    <n v="378"/>
    <n v="3.5925925925925926"/>
    <n v="43.12169312169312"/>
    <n v="215"/>
    <n v="56.8783068783068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0FE519-A77B-4B21-96A1-6BAE6094CB59}" name="PivotTable1" cacheId="1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M9" firstHeaderRow="1" firstDataRow="3" firstDataCol="1"/>
  <pivotFields count="10">
    <pivotField axis="axisRow" numFmtId="14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Col" showAll="0">
      <items count="52">
        <item h="1" x="0"/>
        <item h="1" x="24"/>
        <item h="1" x="32"/>
        <item h="1" x="1"/>
        <item h="1" x="31"/>
        <item h="1" x="33"/>
        <item h="1" x="2"/>
        <item h="1" x="35"/>
        <item h="1" x="3"/>
        <item h="1" x="4"/>
        <item h="1" x="34"/>
        <item h="1" x="36"/>
        <item x="5"/>
        <item h="1" x="37"/>
        <item h="1" x="38"/>
        <item h="1" x="39"/>
        <item h="1" x="40"/>
        <item h="1" x="6"/>
        <item h="1" x="7"/>
        <item h="1" x="8"/>
        <item h="1" x="41"/>
        <item h="1" x="9"/>
        <item h="1" x="10"/>
        <item h="1" x="25"/>
        <item h="1" x="11"/>
        <item h="1" x="12"/>
        <item h="1" x="13"/>
        <item h="1" x="42"/>
        <item h="1" x="14"/>
        <item h="1" x="15"/>
        <item h="1" x="16"/>
        <item h="1" x="26"/>
        <item h="1" x="17"/>
        <item h="1" x="43"/>
        <item x="18"/>
        <item h="1" x="27"/>
        <item h="1" x="44"/>
        <item h="1" x="45"/>
        <item h="1" x="19"/>
        <item h="1" x="28"/>
        <item h="1" x="46"/>
        <item h="1" x="29"/>
        <item h="1" x="20"/>
        <item h="1" x="47"/>
        <item h="1" x="21"/>
        <item h="1" x="48"/>
        <item h="1" x="22"/>
        <item x="23"/>
        <item h="1" x="49"/>
        <item h="1" x="30"/>
        <item h="1" m="1" x="50"/>
        <item t="default"/>
      </items>
    </pivotField>
    <pivotField dataField="1" showAll="0"/>
    <pivotField dataField="1" showAll="0"/>
    <pivotField dataField="1"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4">
    <field x="9"/>
    <field x="8"/>
    <field x="7"/>
    <field x="0"/>
  </rowFields>
  <rowItems count="4">
    <i>
      <x v="1"/>
    </i>
    <i>
      <x v="2"/>
    </i>
    <i>
      <x v="3"/>
    </i>
    <i t="grand">
      <x/>
    </i>
  </rowItems>
  <colFields count="2">
    <field x="1"/>
    <field x="-2"/>
  </colFields>
  <colItems count="12">
    <i>
      <x v="12"/>
      <x/>
    </i>
    <i r="1" i="1">
      <x v="1"/>
    </i>
    <i r="1" i="2">
      <x v="2"/>
    </i>
    <i>
      <x v="34"/>
      <x/>
    </i>
    <i r="1" i="1">
      <x v="1"/>
    </i>
    <i r="1" i="2">
      <x v="2"/>
    </i>
    <i>
      <x v="47"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Average of OTD_Pct" fld="4" subtotal="average" baseField="9" baseItem="1"/>
    <dataField name="Average of Avg_Lead_Time" fld="3" subtotal="average" baseField="9" baseItem="1"/>
    <dataField name="Sum of Total_Order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B2F6B1-EA24-495F-B1D3-2E43376FEDC6}" name="PivotTable2" cacheId="1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E37" firstHeaderRow="1" firstDataRow="2" firstDataCol="1"/>
  <pivotFields count="10">
    <pivotField axis="axisRow" numFmtId="14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Col" showAll="0">
      <items count="52">
        <item h="1" x="0"/>
        <item h="1" x="24"/>
        <item h="1" x="32"/>
        <item h="1" x="1"/>
        <item h="1" x="31"/>
        <item h="1" x="33"/>
        <item h="1" x="2"/>
        <item h="1" x="35"/>
        <item h="1" x="3"/>
        <item h="1" x="4"/>
        <item h="1" x="34"/>
        <item h="1" x="36"/>
        <item x="5"/>
        <item h="1" x="37"/>
        <item h="1" x="38"/>
        <item h="1" x="39"/>
        <item h="1" x="40"/>
        <item h="1" x="6"/>
        <item h="1" x="7"/>
        <item h="1" x="8"/>
        <item h="1" x="41"/>
        <item h="1" x="9"/>
        <item h="1" x="10"/>
        <item h="1" x="25"/>
        <item h="1" x="11"/>
        <item h="1" x="12"/>
        <item h="1" x="13"/>
        <item h="1" x="42"/>
        <item h="1" x="14"/>
        <item h="1" x="15"/>
        <item h="1" x="16"/>
        <item h="1" x="26"/>
        <item h="1" x="17"/>
        <item h="1" x="43"/>
        <item x="18"/>
        <item h="1" x="27"/>
        <item h="1" x="44"/>
        <item h="1" x="45"/>
        <item h="1" x="19"/>
        <item h="1" x="28"/>
        <item h="1" x="46"/>
        <item h="1" x="29"/>
        <item h="1" x="20"/>
        <item h="1" x="47"/>
        <item h="1" x="21"/>
        <item h="1" x="48"/>
        <item h="1" x="22"/>
        <item x="23"/>
        <item h="1" x="49"/>
        <item h="1" x="30"/>
        <item h="1" m="1" x="50"/>
        <item t="default"/>
      </items>
    </pivotField>
    <pivotField showAll="0"/>
    <pivotField showAll="0"/>
    <pivotField dataField="1"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0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1"/>
  </colFields>
  <colItems count="4">
    <i>
      <x v="12"/>
    </i>
    <i>
      <x v="34"/>
    </i>
    <i>
      <x v="47"/>
    </i>
    <i t="grand">
      <x/>
    </i>
  </colItems>
  <dataFields count="1">
    <dataField name="Average of OTD_Pct" fld="4" subtotal="average" baseField="9" baseItem="1"/>
  </dataFields>
  <chartFormats count="3"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5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5926E1-AA6D-494B-AFDE-D025956AD04E}" name="PivotTable3" cacheId="1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7" firstHeaderRow="1" firstDataRow="1" firstDataCol="1"/>
  <pivotFields count="10">
    <pivotField numFmtId="14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Row" showAll="0">
      <items count="52">
        <item h="1" x="0"/>
        <item h="1" x="24"/>
        <item h="1" x="32"/>
        <item h="1" x="1"/>
        <item h="1" x="31"/>
        <item h="1" x="33"/>
        <item h="1" x="2"/>
        <item h="1" x="35"/>
        <item h="1" x="3"/>
        <item h="1" x="4"/>
        <item h="1" x="34"/>
        <item h="1" x="36"/>
        <item x="5"/>
        <item h="1" x="37"/>
        <item h="1" x="38"/>
        <item h="1" x="39"/>
        <item h="1" x="40"/>
        <item h="1" x="6"/>
        <item h="1" x="7"/>
        <item h="1" x="8"/>
        <item h="1" x="41"/>
        <item h="1" x="9"/>
        <item h="1" x="10"/>
        <item h="1" x="25"/>
        <item h="1" x="11"/>
        <item h="1" x="12"/>
        <item h="1" x="13"/>
        <item h="1" x="42"/>
        <item h="1" x="14"/>
        <item h="1" x="15"/>
        <item h="1" x="16"/>
        <item h="1" x="26"/>
        <item h="1" x="17"/>
        <item h="1" x="43"/>
        <item x="18"/>
        <item h="1" x="27"/>
        <item h="1" x="44"/>
        <item h="1" x="45"/>
        <item h="1" x="19"/>
        <item h="1" x="28"/>
        <item h="1" x="46"/>
        <item h="1" x="29"/>
        <item h="1" x="20"/>
        <item h="1" x="47"/>
        <item h="1" x="21"/>
        <item h="1" x="48"/>
        <item h="1" x="22"/>
        <item x="23"/>
        <item h="1" x="49"/>
        <item h="1" x="30"/>
        <item h="1" m="1" x="50"/>
        <item t="default"/>
      </items>
    </pivotField>
    <pivotField dataField="1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"/>
  </rowFields>
  <rowItems count="4">
    <i>
      <x v="12"/>
    </i>
    <i>
      <x v="34"/>
    </i>
    <i>
      <x v="47"/>
    </i>
    <i t="grand">
      <x/>
    </i>
  </rowItems>
  <colItems count="1">
    <i/>
  </colItems>
  <dataFields count="1">
    <dataField name="Sum of Total_Orders" fld="2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1425D2-5BC7-4FC0-A003-4FF6C6D5AF6D}" name="PivotTable4" cacheId="1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3:B7" firstHeaderRow="1" firstDataRow="1" firstDataCol="1"/>
  <pivotFields count="10">
    <pivotField numFmtId="14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Row" showAll="0">
      <items count="52">
        <item h="1" x="0"/>
        <item h="1" x="24"/>
        <item h="1" x="32"/>
        <item h="1" x="1"/>
        <item h="1" x="31"/>
        <item h="1" x="33"/>
        <item h="1" x="2"/>
        <item h="1" x="35"/>
        <item h="1" x="3"/>
        <item h="1" x="4"/>
        <item h="1" x="34"/>
        <item h="1" x="36"/>
        <item x="5"/>
        <item h="1" x="37"/>
        <item h="1" x="38"/>
        <item h="1" x="39"/>
        <item h="1" x="40"/>
        <item h="1" x="6"/>
        <item h="1" x="7"/>
        <item h="1" x="8"/>
        <item h="1" x="41"/>
        <item h="1" x="9"/>
        <item h="1" x="10"/>
        <item h="1" x="25"/>
        <item h="1" x="11"/>
        <item h="1" x="12"/>
        <item h="1" x="13"/>
        <item h="1" x="42"/>
        <item h="1" x="14"/>
        <item h="1" x="15"/>
        <item h="1" x="16"/>
        <item h="1" x="26"/>
        <item h="1" x="17"/>
        <item h="1" x="43"/>
        <item x="18"/>
        <item h="1" x="27"/>
        <item h="1" x="44"/>
        <item h="1" x="45"/>
        <item h="1" x="19"/>
        <item h="1" x="28"/>
        <item h="1" x="46"/>
        <item h="1" x="29"/>
        <item h="1" x="20"/>
        <item h="1" x="47"/>
        <item h="1" x="21"/>
        <item h="1" x="48"/>
        <item h="1" x="22"/>
        <item x="23"/>
        <item h="1" x="49"/>
        <item h="1" x="30"/>
        <item h="1" m="1" x="50"/>
        <item t="default"/>
      </items>
    </pivotField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sd="0" x="1"/>
        <item sd="0" x="2"/>
        <item sd="0" x="3"/>
        <item x="4"/>
        <item x="5"/>
        <item t="default"/>
      </items>
    </pivotField>
  </pivotFields>
  <rowFields count="1">
    <field x="1"/>
  </rowFields>
  <rowItems count="4">
    <i>
      <x v="12"/>
    </i>
    <i>
      <x v="34"/>
    </i>
    <i>
      <x v="47"/>
    </i>
    <i t="grand">
      <x/>
    </i>
  </rowItems>
  <colItems count="1">
    <i/>
  </colItems>
  <dataFields count="1">
    <dataField name="Average of Avg_Lead_Time" fld="3" subtotal="average" baseField="9" baseItem="1"/>
  </dataFields>
  <chartFormats count="4"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478272F-11F5-4323-8CE7-640B13CE01DD}" autoFormatId="16" applyNumberFormats="0" applyBorderFormats="0" applyFontFormats="0" applyPatternFormats="0" applyAlignmentFormats="0" applyWidthHeightFormats="0">
  <queryTableRefresh nextId="7">
    <queryTableFields count="6">
      <queryTableField id="1" name="Month" tableColumnId="1"/>
      <queryTableField id="2" name="Category" tableColumnId="2"/>
      <queryTableField id="3" name="Type" tableColumnId="3"/>
      <queryTableField id="4" name="Value" tableColumnId="4"/>
      <queryTableField id="5" name="Lower_CI" tableColumnId="5"/>
      <queryTableField id="6" name="Upper_CI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F69C843-056D-4971-8519-0A3B10942F91}" autoFormatId="16" applyNumberFormats="0" applyBorderFormats="0" applyFontFormats="0" applyPatternFormats="0" applyAlignmentFormats="0" applyWidthHeightFormats="0">
  <queryTableRefresh nextId="8">
    <queryTableFields count="7">
      <queryTableField id="1" name="Month" tableColumnId="1"/>
      <queryTableField id="2" name="Category Name" tableColumnId="2"/>
      <queryTableField id="3" name="Total_Orders" tableColumnId="3"/>
      <queryTableField id="4" name="Avg_Lead_Time" tableColumnId="4"/>
      <queryTableField id="5" name="OTD_Pct" tableColumnId="5"/>
      <queryTableField id="6" name="Late_Count" tableColumnId="6"/>
      <queryTableField id="7" name="Late_Delivery_Pct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8ED0BE9-600F-412B-BAB6-6FAD4706ABBE}" autoFormatId="16" applyNumberFormats="0" applyBorderFormats="0" applyFontFormats="0" applyPatternFormats="0" applyAlignmentFormats="0" applyWidthHeightFormats="0">
  <queryTableRefresh nextId="3">
    <queryTableFields count="2">
      <queryTableField id="1" name="Month" tableColumnId="1"/>
      <queryTableField id="2" name="Problem_Order_Pc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A06605-FD36-4CBC-8576-CF4737A89718}" name="Forecast_Data" displayName="Forecast_Data" ref="A1:F118" tableType="queryTable" totalsRowShown="0">
  <autoFilter ref="A1:F118" xr:uid="{C4A06605-FD36-4CBC-8576-CF4737A89718}"/>
  <tableColumns count="6">
    <tableColumn id="1" xr3:uid="{32E38637-8F61-41F0-A8FD-1BE1325CFF32}" uniqueName="1" name="Month" queryTableFieldId="1" dataDxfId="9"/>
    <tableColumn id="2" xr3:uid="{B73216F8-3446-4973-A634-62A720B940DC}" uniqueName="2" name="Category" queryTableFieldId="2" dataDxfId="14"/>
    <tableColumn id="3" xr3:uid="{F00066E2-EB3C-4376-8B6E-1552D153720C}" uniqueName="3" name="Type" queryTableFieldId="3" dataDxfId="13"/>
    <tableColumn id="4" xr3:uid="{9B687390-15BF-4EAA-A556-58FDD540CD72}" uniqueName="4" name="Value" queryTableFieldId="4"/>
    <tableColumn id="5" xr3:uid="{E6E556D2-852F-4F5B-86E0-385B285F5A6E}" uniqueName="5" name="Lower_CI" queryTableFieldId="5"/>
    <tableColumn id="6" xr3:uid="{207498C9-5775-41AE-90B5-249CA68162C1}" uniqueName="6" name="Upper_CI" queryTableField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FCBECC-3053-4A17-B60C-CD0B1C4E7B79}" name="KPI_Data" displayName="KPI_Data" ref="A1:G854" tableType="queryTable" totalsRowShown="0" dataDxfId="0">
  <autoFilter ref="A1:G854" xr:uid="{ABFCBECC-3053-4A17-B60C-CD0B1C4E7B79}"/>
  <tableColumns count="7">
    <tableColumn id="1" xr3:uid="{882B7F1B-1B53-4AB2-817E-22ED825B6F6E}" uniqueName="1" name="Month" queryTableFieldId="1" dataDxfId="7"/>
    <tableColumn id="2" xr3:uid="{1D6DA3B7-2682-483F-98BC-931A52E37E1E}" uniqueName="2" name="Category Name" queryTableFieldId="2" dataDxfId="6"/>
    <tableColumn id="3" xr3:uid="{687A8CD4-0F02-49DC-8567-60934F64278D}" uniqueName="3" name="Total_Orders" queryTableFieldId="3" dataDxfId="5"/>
    <tableColumn id="4" xr3:uid="{18BCE7D9-0F81-493B-945D-7252CB059183}" uniqueName="4" name="Avg_Lead_Time" queryTableFieldId="4" dataDxfId="4"/>
    <tableColumn id="5" xr3:uid="{90A46839-0137-44FC-A9F3-1FCDB7329D51}" uniqueName="5" name="OTD_Pct" queryTableFieldId="5" dataDxfId="3"/>
    <tableColumn id="6" xr3:uid="{91BBA69A-3C92-45AA-84E9-64F7A834B158}" uniqueName="6" name="Late_Count" queryTableFieldId="6" dataDxfId="2"/>
    <tableColumn id="7" xr3:uid="{82B18747-99BB-4693-8C77-4C6345F33B30}" uniqueName="7" name="Late_Delivery_Pct" queryTableFieldId="7" dataDxfId="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C19DF8-5DF0-4FFD-88D2-5B9DE23DC817}" name="monthly_problem_order_rate" displayName="monthly_problem_order_rate" ref="A1:B38" tableType="queryTable" totalsRowShown="0">
  <autoFilter ref="A1:B38" xr:uid="{CFC19DF8-5DF0-4FFD-88D2-5B9DE23DC817}"/>
  <tableColumns count="2">
    <tableColumn id="1" xr3:uid="{73664A65-16B1-4683-98AB-82FEB39F04DD}" uniqueName="1" name="Month" queryTableFieldId="1" dataDxfId="8"/>
    <tableColumn id="2" xr3:uid="{69F59D65-6697-4C57-A42F-DBB9203250C2}" uniqueName="2" name="Problem_Order_Pct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3FE36-1240-42B8-94BB-9CE6ADF965E1}">
  <sheetPr codeName="Sheet1"/>
  <dimension ref="A1:H11"/>
  <sheetViews>
    <sheetView showGridLines="0" tabSelected="1" zoomScale="74" zoomScaleNormal="78" workbookViewId="0">
      <selection activeCell="V8" sqref="V8"/>
    </sheetView>
  </sheetViews>
  <sheetFormatPr defaultRowHeight="14.4" x14ac:dyDescent="0.3"/>
  <cols>
    <col min="1" max="1" width="26.5546875" bestFit="1" customWidth="1"/>
    <col min="2" max="2" width="22.77734375" customWidth="1"/>
    <col min="3" max="4" width="14.77734375" customWidth="1"/>
    <col min="5" max="5" width="18.33203125" customWidth="1"/>
    <col min="6" max="7" width="14.77734375" customWidth="1"/>
    <col min="8" max="8" width="18.6640625" customWidth="1"/>
  </cols>
  <sheetData>
    <row r="1" spans="1:8" ht="31.2" x14ac:dyDescent="0.6">
      <c r="A1" s="18" t="s">
        <v>57</v>
      </c>
      <c r="B1" s="10"/>
      <c r="C1" s="10"/>
      <c r="D1" s="10"/>
      <c r="E1" s="10"/>
      <c r="F1" s="10"/>
      <c r="G1" s="10"/>
      <c r="H1" s="10"/>
    </row>
    <row r="2" spans="1:8" ht="18" x14ac:dyDescent="0.35">
      <c r="A2" s="19" t="s">
        <v>58</v>
      </c>
      <c r="B2" s="6"/>
      <c r="C2" s="6"/>
      <c r="D2" s="6"/>
      <c r="E2" s="6"/>
      <c r="F2" s="6"/>
      <c r="G2" s="6"/>
      <c r="H2" s="6"/>
    </row>
    <row r="4" spans="1:8" ht="25.8" x14ac:dyDescent="0.5">
      <c r="A4" s="11" t="s">
        <v>64</v>
      </c>
      <c r="B4" s="11"/>
      <c r="D4" s="11" t="s">
        <v>61</v>
      </c>
      <c r="E4" s="11"/>
      <c r="G4" s="11" t="s">
        <v>59</v>
      </c>
      <c r="H4" s="11"/>
    </row>
    <row r="5" spans="1:8" ht="25.8" x14ac:dyDescent="0.5">
      <c r="A5" s="12">
        <f>IF($B$11="All", AVERAGE('Raw Data'!E2:E854), AVERAGEIFS('Raw Data'!E2:E854,'Raw Data'!B2:B854,$B$11))</f>
        <v>44.799323288694389</v>
      </c>
      <c r="B5" s="12"/>
      <c r="D5" s="13">
        <f>IF($B$11="All", AVERAGE('Raw Data'!D2:D854), AVERAGEIFS('Raw Data'!D2:D854,'Raw Data'!B2:B854,$B$11))</f>
        <v>3.4910695348753373</v>
      </c>
      <c r="E5" s="13"/>
      <c r="G5" s="7">
        <f>IF($B$11="All", SUM('Raw Data'!C2:C854), SUMIFS('Raw Data'!C2:C854,'Raw Data'!B2:B854,$B$11))</f>
        <v>180519</v>
      </c>
      <c r="H5" s="7"/>
    </row>
    <row r="6" spans="1:8" ht="25.8" x14ac:dyDescent="0.5">
      <c r="A6" s="11" t="s">
        <v>60</v>
      </c>
      <c r="B6" s="11"/>
      <c r="D6" s="11" t="s">
        <v>62</v>
      </c>
      <c r="E6" s="11"/>
      <c r="G6" s="11" t="s">
        <v>63</v>
      </c>
      <c r="H6" s="11"/>
    </row>
    <row r="7" spans="1:8" ht="25.8" x14ac:dyDescent="0.5">
      <c r="A7" s="8">
        <f>IF($B$11="All", SUM('Raw Data'!F2:F854), SUMIFS('Raw Data'!F2:F854,'Raw Data'!B2:B854,$B$11))</f>
        <v>98743</v>
      </c>
      <c r="B7" s="8"/>
      <c r="D7" s="9">
        <f>IF($B$11="All", AVERAGE('Raw Data'!G2:G854), AVERAGEIFS('Raw Data'!G2:G854,'Raw Data'!B2:B854,$B$11))</f>
        <v>55.200676711305611</v>
      </c>
      <c r="E7" s="9"/>
      <c r="G7" s="9">
        <f>IF($B$11="All", MAX('Raw Data'!E2:E854), _xlfn.MAXIFS('Raw Data'!E2:E854,'Raw Data'!B2:B854,$B$11))</f>
        <v>100</v>
      </c>
      <c r="H7" s="9"/>
    </row>
    <row r="8" spans="1:8" ht="25.8" x14ac:dyDescent="0.5">
      <c r="A8" s="14" t="s">
        <v>87</v>
      </c>
      <c r="B8" s="15"/>
    </row>
    <row r="9" spans="1:8" ht="25.8" x14ac:dyDescent="0.5">
      <c r="A9" s="16">
        <f>AVERAGE(monthly_problem_order_rate!B:B)</f>
        <v>10.762653565459971</v>
      </c>
      <c r="B9" s="17"/>
    </row>
    <row r="11" spans="1:8" x14ac:dyDescent="0.3">
      <c r="A11" s="5" t="s">
        <v>89</v>
      </c>
      <c r="B11" s="5" t="s">
        <v>88</v>
      </c>
    </row>
  </sheetData>
  <mergeCells count="16">
    <mergeCell ref="A8:B8"/>
    <mergeCell ref="A9:B9"/>
    <mergeCell ref="G5:H5"/>
    <mergeCell ref="A7:B7"/>
    <mergeCell ref="D7:E7"/>
    <mergeCell ref="G7:H7"/>
    <mergeCell ref="A1:H1"/>
    <mergeCell ref="A2:H2"/>
    <mergeCell ref="A4:B4"/>
    <mergeCell ref="D4:E4"/>
    <mergeCell ref="G4:H4"/>
    <mergeCell ref="A6:B6"/>
    <mergeCell ref="D6:E6"/>
    <mergeCell ref="G6:H6"/>
    <mergeCell ref="A5:B5"/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defaultSize="0" print="0" autoFill="0" autoPict="0" macro="[0]!RefreshDashboard">
                <anchor moveWithCells="1" sizeWithCells="1">
                  <from>
                    <xdr:col>0</xdr:col>
                    <xdr:colOff>0</xdr:colOff>
                    <xdr:row>11</xdr:row>
                    <xdr:rowOff>114300</xdr:rowOff>
                  </from>
                  <to>
                    <xdr:col>1</xdr:col>
                    <xdr:colOff>350520</xdr:colOff>
                    <xdr:row>13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AF8463-E44B-4641-9223-032E8839CB1D}">
          <x14:formula1>
            <xm:f>'Raw Data'!$B$1:$B$854</xm:f>
          </x14:formula1>
          <xm:sqref>B11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7B302-F778-4BAB-B21E-8423E4FB43BF}">
  <sheetPr codeName="Sheet2"/>
  <dimension ref="A1:S118"/>
  <sheetViews>
    <sheetView zoomScale="92" zoomScaleNormal="134" workbookViewId="0">
      <selection activeCell="M3" sqref="M3"/>
    </sheetView>
  </sheetViews>
  <sheetFormatPr defaultRowHeight="14.4" x14ac:dyDescent="0.3"/>
  <cols>
    <col min="1" max="1" width="11" bestFit="1" customWidth="1"/>
    <col min="2" max="2" width="16.21875" bestFit="1" customWidth="1"/>
    <col min="3" max="3" width="8.21875" bestFit="1" customWidth="1"/>
    <col min="4" max="4" width="8.33203125" bestFit="1" customWidth="1"/>
    <col min="5" max="6" width="11.44140625" bestFit="1" customWidth="1"/>
    <col min="8" max="8" width="9" bestFit="1" customWidth="1"/>
    <col min="9" max="9" width="15.21875" bestFit="1" customWidth="1"/>
    <col min="10" max="10" width="16.44140625" bestFit="1" customWidth="1"/>
    <col min="13" max="13" width="15.6640625" bestFit="1" customWidth="1"/>
    <col min="14" max="14" width="11.21875" bestFit="1" customWidth="1"/>
    <col min="15" max="15" width="6.33203125" bestFit="1" customWidth="1"/>
    <col min="16" max="16" width="8" customWidth="1"/>
    <col min="17" max="17" width="8.77734375" bestFit="1" customWidth="1"/>
    <col min="18" max="18" width="8.6640625" bestFit="1" customWidth="1"/>
    <col min="19" max="19" width="8.77734375" bestFit="1" customWidth="1"/>
  </cols>
  <sheetData>
    <row r="1" spans="1:19" x14ac:dyDescent="0.3">
      <c r="A1" t="s">
        <v>0</v>
      </c>
      <c r="B1" t="s">
        <v>77</v>
      </c>
      <c r="C1" t="s">
        <v>78</v>
      </c>
      <c r="D1" t="s">
        <v>79</v>
      </c>
      <c r="E1" t="s">
        <v>80</v>
      </c>
      <c r="F1" t="s">
        <v>81</v>
      </c>
      <c r="H1" s="6" t="s">
        <v>84</v>
      </c>
      <c r="I1" s="6"/>
      <c r="J1" s="6"/>
      <c r="M1" s="25" t="s">
        <v>12</v>
      </c>
      <c r="N1" t="s">
        <v>0</v>
      </c>
      <c r="O1" t="s">
        <v>82</v>
      </c>
      <c r="P1" t="s">
        <v>83</v>
      </c>
      <c r="Q1" t="s">
        <v>80</v>
      </c>
      <c r="R1" t="s">
        <v>81</v>
      </c>
      <c r="S1" t="s">
        <v>85</v>
      </c>
    </row>
    <row r="2" spans="1:19" x14ac:dyDescent="0.3">
      <c r="A2" s="4">
        <v>42005</v>
      </c>
      <c r="B2" t="s">
        <v>12</v>
      </c>
      <c r="C2" t="s">
        <v>82</v>
      </c>
      <c r="D2">
        <v>2390</v>
      </c>
      <c r="H2" s="21" t="s">
        <v>12</v>
      </c>
      <c r="I2" s="22" t="s">
        <v>25</v>
      </c>
      <c r="J2" s="21" t="s">
        <v>30</v>
      </c>
      <c r="N2" s="4" cm="1">
        <f t="array" ref="N2">INDEX($A:$A, MATCH($M$1,$B:$B,0)+ROW()-ROW($N$2))</f>
        <v>42005</v>
      </c>
      <c r="O2" cm="1">
        <f t="array" ref="O2">IF(INDEX($C:$C, MATCH($M$1,$B:$B,0)+ROW()-ROW($N$2))="Actual", INDEX($D:$D, MATCH($M$1,$B:$B,0)+ROW()-ROW($N$2)), "")</f>
        <v>2390</v>
      </c>
      <c r="P2" t="str" cm="1">
        <f t="array" ref="P2">IF(INDEX($C:$C, MATCH($M$1,$B:$B,0)+ROW()-ROW($N$2))="Forecast", INDEX($D:$D, MATCH($M$1,$B:$B,0)+ROW()-ROW($N$2)), "")</f>
        <v/>
      </c>
      <c r="Q2" t="str" cm="1">
        <f t="array" ref="Q2">IF(INDEX($C:$C, MATCH($M$1,$B:$B,0)+ROW()-ROW($N$2))="Forecast", INDEX($E:$E, MATCH($M$1,$B:$B,0)+ROW()-ROW($N$2)), "")</f>
        <v/>
      </c>
      <c r="R2" t="str" cm="1">
        <f t="array" ref="R2">IF(INDEX($C:$C, MATCH($M$1,$B:$B,0)+ROW()-ROW($N$2))="Forecast", INDEX($F:$F, MATCH($M$1,$B:$B,0)+ROW()-ROW($N$2)), "")</f>
        <v/>
      </c>
    </row>
    <row r="3" spans="1:19" ht="21" x14ac:dyDescent="0.4">
      <c r="A3" s="4">
        <v>42036</v>
      </c>
      <c r="B3" t="s">
        <v>12</v>
      </c>
      <c r="C3" t="s">
        <v>82</v>
      </c>
      <c r="D3">
        <v>2005</v>
      </c>
      <c r="H3" s="23">
        <v>6.7900000000000002E-2</v>
      </c>
      <c r="I3" s="23">
        <v>6.6900000000000001E-2</v>
      </c>
      <c r="J3" s="23">
        <v>7.46E-2</v>
      </c>
      <c r="N3" s="4" cm="1">
        <f t="array" ref="N3">INDEX($A:$A, MATCH($M$1,$B:$B,0)+ROW()-ROW($N$2))</f>
        <v>42036</v>
      </c>
      <c r="O3" cm="1">
        <f t="array" ref="O3">IF(INDEX($C:$C, MATCH($M$1,$B:$B,0)+ROW()-ROW($N$2))="Actual", INDEX($D:$D, MATCH($M$1,$B:$B,0)+ROW()-ROW($N$2)), "")</f>
        <v>2005</v>
      </c>
      <c r="P3" t="str" cm="1">
        <f t="array" ref="P3">IF(INDEX($C:$C, MATCH($M$1,$B:$B,0)+ROW()-ROW($N$2))="Forecast", INDEX($D:$D, MATCH($M$1,$B:$B,0)+ROW()-ROW($N$2)), "")</f>
        <v/>
      </c>
      <c r="Q3" t="str" cm="1">
        <f t="array" ref="Q3">IF(INDEX($C:$C, MATCH($M$1,$B:$B,0)+ROW()-ROW($N$2))="Forecast", INDEX($E:$E, MATCH($M$1,$B:$B,0)+ROW()-ROW($N$2)), "")</f>
        <v/>
      </c>
      <c r="R3" t="str" cm="1">
        <f t="array" ref="R3">IF(INDEX($C:$C, MATCH($M$1,$B:$B,0)+ROW()-ROW($N$2))="Forecast", INDEX($F:$F, MATCH($M$1,$B:$B,0)+ROW()-ROW($N$2)), "")</f>
        <v/>
      </c>
    </row>
    <row r="4" spans="1:19" x14ac:dyDescent="0.3">
      <c r="A4" s="4">
        <v>42064</v>
      </c>
      <c r="B4" t="s">
        <v>12</v>
      </c>
      <c r="C4" t="s">
        <v>82</v>
      </c>
      <c r="D4">
        <v>2355</v>
      </c>
      <c r="N4" s="4" cm="1">
        <f t="array" ref="N4">INDEX($A:$A, MATCH($M$1,$B:$B,0)+ROW()-ROW($N$2))</f>
        <v>42064</v>
      </c>
      <c r="O4" cm="1">
        <f t="array" ref="O4">IF(INDEX($C:$C, MATCH($M$1,$B:$B,0)+ROW()-ROW($N$2))="Actual", INDEX($D:$D, MATCH($M$1,$B:$B,0)+ROW()-ROW($N$2)), "")</f>
        <v>2355</v>
      </c>
      <c r="P4" t="str" cm="1">
        <f t="array" ref="P4">IF(INDEX($C:$C, MATCH($M$1,$B:$B,0)+ROW()-ROW($N$2))="Forecast", INDEX($D:$D, MATCH($M$1,$B:$B,0)+ROW()-ROW($N$2)), "")</f>
        <v/>
      </c>
      <c r="Q4" t="str" cm="1">
        <f t="array" ref="Q4">IF(INDEX($C:$C, MATCH($M$1,$B:$B,0)+ROW()-ROW($N$2))="Forecast", INDEX($E:$E, MATCH($M$1,$B:$B,0)+ROW()-ROW($N$2)), "")</f>
        <v/>
      </c>
      <c r="R4" t="str" cm="1">
        <f t="array" ref="R4">IF(INDEX($C:$C, MATCH($M$1,$B:$B,0)+ROW()-ROW($N$2))="Forecast", INDEX($F:$F, MATCH($M$1,$B:$B,0)+ROW()-ROW($N$2)), "")</f>
        <v/>
      </c>
    </row>
    <row r="5" spans="1:19" x14ac:dyDescent="0.3">
      <c r="A5" s="4">
        <v>42095</v>
      </c>
      <c r="B5" t="s">
        <v>12</v>
      </c>
      <c r="C5" t="s">
        <v>82</v>
      </c>
      <c r="D5">
        <v>2187</v>
      </c>
      <c r="N5" s="4" cm="1">
        <f t="array" ref="N5">INDEX($A:$A, MATCH($M$1,$B:$B,0)+ROW()-ROW($N$2))</f>
        <v>42095</v>
      </c>
      <c r="O5" cm="1">
        <f t="array" ref="O5">IF(INDEX($C:$C, MATCH($M$1,$B:$B,0)+ROW()-ROW($N$2))="Actual", INDEX($D:$D, MATCH($M$1,$B:$B,0)+ROW()-ROW($N$2)), "")</f>
        <v>2187</v>
      </c>
      <c r="P5" t="str" cm="1">
        <f t="array" ref="P5">IF(INDEX($C:$C, MATCH($M$1,$B:$B,0)+ROW()-ROW($N$2))="Forecast", INDEX($D:$D, MATCH($M$1,$B:$B,0)+ROW()-ROW($N$2)), "")</f>
        <v/>
      </c>
      <c r="Q5" t="str" cm="1">
        <f t="array" ref="Q5">IF(INDEX($C:$C, MATCH($M$1,$B:$B,0)+ROW()-ROW($N$2))="Forecast", INDEX($E:$E, MATCH($M$1,$B:$B,0)+ROW()-ROW($N$2)), "")</f>
        <v/>
      </c>
      <c r="R5" t="str" cm="1">
        <f t="array" ref="R5">IF(INDEX($C:$C, MATCH($M$1,$B:$B,0)+ROW()-ROW($N$2))="Forecast", INDEX($F:$F, MATCH($M$1,$B:$B,0)+ROW()-ROW($N$2)), "")</f>
        <v/>
      </c>
    </row>
    <row r="6" spans="1:19" x14ac:dyDescent="0.3">
      <c r="A6" s="4">
        <v>42125</v>
      </c>
      <c r="B6" t="s">
        <v>12</v>
      </c>
      <c r="C6" t="s">
        <v>82</v>
      </c>
      <c r="D6">
        <v>2220</v>
      </c>
      <c r="N6" s="4" cm="1">
        <f t="array" ref="N6">INDEX($A:$A, MATCH($M$1,$B:$B,0)+ROW()-ROW($N$2))</f>
        <v>42125</v>
      </c>
      <c r="O6" cm="1">
        <f t="array" ref="O6">IF(INDEX($C:$C, MATCH($M$1,$B:$B,0)+ROW()-ROW($N$2))="Actual", INDEX($D:$D, MATCH($M$1,$B:$B,0)+ROW()-ROW($N$2)), "")</f>
        <v>2220</v>
      </c>
      <c r="P6" t="str" cm="1">
        <f t="array" ref="P6">IF(INDEX($C:$C, MATCH($M$1,$B:$B,0)+ROW()-ROW($N$2))="Forecast", INDEX($D:$D, MATCH($M$1,$B:$B,0)+ROW()-ROW($N$2)), "")</f>
        <v/>
      </c>
      <c r="Q6" t="str" cm="1">
        <f t="array" ref="Q6">IF(INDEX($C:$C, MATCH($M$1,$B:$B,0)+ROW()-ROW($N$2))="Forecast", INDEX($E:$E, MATCH($M$1,$B:$B,0)+ROW()-ROW($N$2)), "")</f>
        <v/>
      </c>
      <c r="R6" t="str" cm="1">
        <f t="array" ref="R6">IF(INDEX($C:$C, MATCH($M$1,$B:$B,0)+ROW()-ROW($N$2))="Forecast", INDEX($F:$F, MATCH($M$1,$B:$B,0)+ROW()-ROW($N$2)), "")</f>
        <v/>
      </c>
    </row>
    <row r="7" spans="1:19" x14ac:dyDescent="0.3">
      <c r="A7" s="4">
        <v>42156</v>
      </c>
      <c r="B7" t="s">
        <v>12</v>
      </c>
      <c r="C7" t="s">
        <v>82</v>
      </c>
      <c r="D7">
        <v>2142</v>
      </c>
      <c r="N7" s="4" cm="1">
        <f t="array" ref="N7">INDEX($A:$A, MATCH($M$1,$B:$B,0)+ROW()-ROW($N$2))</f>
        <v>42156</v>
      </c>
      <c r="O7" cm="1">
        <f t="array" ref="O7">IF(INDEX($C:$C, MATCH($M$1,$B:$B,0)+ROW()-ROW($N$2))="Actual", INDEX($D:$D, MATCH($M$1,$B:$B,0)+ROW()-ROW($N$2)), "")</f>
        <v>2142</v>
      </c>
      <c r="P7" t="str" cm="1">
        <f t="array" ref="P7">IF(INDEX($C:$C, MATCH($M$1,$B:$B,0)+ROW()-ROW($N$2))="Forecast", INDEX($D:$D, MATCH($M$1,$B:$B,0)+ROW()-ROW($N$2)), "")</f>
        <v/>
      </c>
      <c r="Q7" t="str" cm="1">
        <f t="array" ref="Q7">IF(INDEX($C:$C, MATCH($M$1,$B:$B,0)+ROW()-ROW($N$2))="Forecast", INDEX($E:$E, MATCH($M$1,$B:$B,0)+ROW()-ROW($N$2)), "")</f>
        <v/>
      </c>
      <c r="R7" t="str" cm="1">
        <f t="array" ref="R7">IF(INDEX($C:$C, MATCH($M$1,$B:$B,0)+ROW()-ROW($N$2))="Forecast", INDEX($F:$F, MATCH($M$1,$B:$B,0)+ROW()-ROW($N$2)), "")</f>
        <v/>
      </c>
    </row>
    <row r="8" spans="1:19" x14ac:dyDescent="0.3">
      <c r="A8" s="4">
        <v>42186</v>
      </c>
      <c r="B8" t="s">
        <v>12</v>
      </c>
      <c r="C8" t="s">
        <v>82</v>
      </c>
      <c r="D8">
        <v>2274</v>
      </c>
      <c r="N8" s="4" cm="1">
        <f t="array" ref="N8">INDEX($A:$A, MATCH($M$1,$B:$B,0)+ROW()-ROW($N$2))</f>
        <v>42186</v>
      </c>
      <c r="O8" cm="1">
        <f t="array" ref="O8">IF(INDEX($C:$C, MATCH($M$1,$B:$B,0)+ROW()-ROW($N$2))="Actual", INDEX($D:$D, MATCH($M$1,$B:$B,0)+ROW()-ROW($N$2)), "")</f>
        <v>2274</v>
      </c>
      <c r="P8" t="str" cm="1">
        <f t="array" ref="P8">IF(INDEX($C:$C, MATCH($M$1,$B:$B,0)+ROW()-ROW($N$2))="Forecast", INDEX($D:$D, MATCH($M$1,$B:$B,0)+ROW()-ROW($N$2)), "")</f>
        <v/>
      </c>
      <c r="Q8" t="str" cm="1">
        <f t="array" ref="Q8">IF(INDEX($C:$C, MATCH($M$1,$B:$B,0)+ROW()-ROW($N$2))="Forecast", INDEX($E:$E, MATCH($M$1,$B:$B,0)+ROW()-ROW($N$2)), "")</f>
        <v/>
      </c>
      <c r="R8" t="str" cm="1">
        <f t="array" ref="R8">IF(INDEX($C:$C, MATCH($M$1,$B:$B,0)+ROW()-ROW($N$2))="Forecast", INDEX($F:$F, MATCH($M$1,$B:$B,0)+ROW()-ROW($N$2)), "")</f>
        <v/>
      </c>
    </row>
    <row r="9" spans="1:19" x14ac:dyDescent="0.3">
      <c r="A9" s="4">
        <v>42217</v>
      </c>
      <c r="B9" t="s">
        <v>12</v>
      </c>
      <c r="C9" t="s">
        <v>82</v>
      </c>
      <c r="D9">
        <v>2411</v>
      </c>
      <c r="N9" s="4" cm="1">
        <f t="array" ref="N9">INDEX($A:$A, MATCH($M$1,$B:$B,0)+ROW()-ROW($N$2))</f>
        <v>42217</v>
      </c>
      <c r="O9" cm="1">
        <f t="array" ref="O9">IF(INDEX($C:$C, MATCH($M$1,$B:$B,0)+ROW()-ROW($N$2))="Actual", INDEX($D:$D, MATCH($M$1,$B:$B,0)+ROW()-ROW($N$2)), "")</f>
        <v>2411</v>
      </c>
      <c r="P9" t="str" cm="1">
        <f t="array" ref="P9">IF(INDEX($C:$C, MATCH($M$1,$B:$B,0)+ROW()-ROW($N$2))="Forecast", INDEX($D:$D, MATCH($M$1,$B:$B,0)+ROW()-ROW($N$2)), "")</f>
        <v/>
      </c>
      <c r="Q9" t="str" cm="1">
        <f t="array" ref="Q9">IF(INDEX($C:$C, MATCH($M$1,$B:$B,0)+ROW()-ROW($N$2))="Forecast", INDEX($E:$E, MATCH($M$1,$B:$B,0)+ROW()-ROW($N$2)), "")</f>
        <v/>
      </c>
      <c r="R9" t="str" cm="1">
        <f t="array" ref="R9">IF(INDEX($C:$C, MATCH($M$1,$B:$B,0)+ROW()-ROW($N$2))="Forecast", INDEX($F:$F, MATCH($M$1,$B:$B,0)+ROW()-ROW($N$2)), "")</f>
        <v/>
      </c>
    </row>
    <row r="10" spans="1:19" x14ac:dyDescent="0.3">
      <c r="A10" s="4">
        <v>42248</v>
      </c>
      <c r="B10" t="s">
        <v>12</v>
      </c>
      <c r="C10" t="s">
        <v>82</v>
      </c>
      <c r="D10">
        <v>2177</v>
      </c>
      <c r="N10" s="4" cm="1">
        <f t="array" ref="N10">INDEX($A:$A, MATCH($M$1,$B:$B,0)+ROW()-ROW($N$2))</f>
        <v>42248</v>
      </c>
      <c r="O10" cm="1">
        <f t="array" ref="O10">IF(INDEX($C:$C, MATCH($M$1,$B:$B,0)+ROW()-ROW($N$2))="Actual", INDEX($D:$D, MATCH($M$1,$B:$B,0)+ROW()-ROW($N$2)), "")</f>
        <v>2177</v>
      </c>
      <c r="P10" t="str" cm="1">
        <f t="array" ref="P10">IF(INDEX($C:$C, MATCH($M$1,$B:$B,0)+ROW()-ROW($N$2))="Forecast", INDEX($D:$D, MATCH($M$1,$B:$B,0)+ROW()-ROW($N$2)), "")</f>
        <v/>
      </c>
      <c r="Q10" t="str" cm="1">
        <f t="array" ref="Q10">IF(INDEX($C:$C, MATCH($M$1,$B:$B,0)+ROW()-ROW($N$2))="Forecast", INDEX($E:$E, MATCH($M$1,$B:$B,0)+ROW()-ROW($N$2)), "")</f>
        <v/>
      </c>
      <c r="R10" t="str" cm="1">
        <f t="array" ref="R10">IF(INDEX($C:$C, MATCH($M$1,$B:$B,0)+ROW()-ROW($N$2))="Forecast", INDEX($F:$F, MATCH($M$1,$B:$B,0)+ROW()-ROW($N$2)), "")</f>
        <v/>
      </c>
    </row>
    <row r="11" spans="1:19" x14ac:dyDescent="0.3">
      <c r="A11" s="4">
        <v>42278</v>
      </c>
      <c r="B11" t="s">
        <v>12</v>
      </c>
      <c r="C11" t="s">
        <v>82</v>
      </c>
      <c r="D11">
        <v>2171</v>
      </c>
      <c r="I11" s="5"/>
      <c r="N11" s="4" cm="1">
        <f t="array" ref="N11">INDEX($A:$A, MATCH($M$1,$B:$B,0)+ROW()-ROW($N$2))</f>
        <v>42278</v>
      </c>
      <c r="O11" cm="1">
        <f t="array" ref="O11">IF(INDEX($C:$C, MATCH($M$1,$B:$B,0)+ROW()-ROW($N$2))="Actual", INDEX($D:$D, MATCH($M$1,$B:$B,0)+ROW()-ROW($N$2)), "")</f>
        <v>2171</v>
      </c>
      <c r="P11" t="str" cm="1">
        <f t="array" ref="P11">IF(INDEX($C:$C, MATCH($M$1,$B:$B,0)+ROW()-ROW($N$2))="Forecast", INDEX($D:$D, MATCH($M$1,$B:$B,0)+ROW()-ROW($N$2)), "")</f>
        <v/>
      </c>
      <c r="Q11" t="str" cm="1">
        <f t="array" ref="Q11">IF(INDEX($C:$C, MATCH($M$1,$B:$B,0)+ROW()-ROW($N$2))="Forecast", INDEX($E:$E, MATCH($M$1,$B:$B,0)+ROW()-ROW($N$2)), "")</f>
        <v/>
      </c>
      <c r="R11" t="str" cm="1">
        <f t="array" ref="R11">IF(INDEX($C:$C, MATCH($M$1,$B:$B,0)+ROW()-ROW($N$2))="Forecast", INDEX($F:$F, MATCH($M$1,$B:$B,0)+ROW()-ROW($N$2)), "")</f>
        <v/>
      </c>
    </row>
    <row r="12" spans="1:19" x14ac:dyDescent="0.3">
      <c r="A12" s="4">
        <v>42309</v>
      </c>
      <c r="B12" t="s">
        <v>12</v>
      </c>
      <c r="C12" t="s">
        <v>82</v>
      </c>
      <c r="D12">
        <v>2205</v>
      </c>
      <c r="N12" s="4" cm="1">
        <f t="array" ref="N12">INDEX($A:$A, MATCH($M$1,$B:$B,0)+ROW()-ROW($N$2))</f>
        <v>42309</v>
      </c>
      <c r="O12" cm="1">
        <f t="array" ref="O12">IF(INDEX($C:$C, MATCH($M$1,$B:$B,0)+ROW()-ROW($N$2))="Actual", INDEX($D:$D, MATCH($M$1,$B:$B,0)+ROW()-ROW($N$2)), "")</f>
        <v>2205</v>
      </c>
      <c r="P12" t="str" cm="1">
        <f t="array" ref="P12">IF(INDEX($C:$C, MATCH($M$1,$B:$B,0)+ROW()-ROW($N$2))="Forecast", INDEX($D:$D, MATCH($M$1,$B:$B,0)+ROW()-ROW($N$2)), "")</f>
        <v/>
      </c>
      <c r="Q12" t="str" cm="1">
        <f t="array" ref="Q12">IF(INDEX($C:$C, MATCH($M$1,$B:$B,0)+ROW()-ROW($N$2))="Forecast", INDEX($E:$E, MATCH($M$1,$B:$B,0)+ROW()-ROW($N$2)), "")</f>
        <v/>
      </c>
      <c r="R12" t="str" cm="1">
        <f t="array" ref="R12">IF(INDEX($C:$C, MATCH($M$1,$B:$B,0)+ROW()-ROW($N$2))="Forecast", INDEX($F:$F, MATCH($M$1,$B:$B,0)+ROW()-ROW($N$2)), "")</f>
        <v/>
      </c>
    </row>
    <row r="13" spans="1:19" x14ac:dyDescent="0.3">
      <c r="A13" s="4">
        <v>42339</v>
      </c>
      <c r="B13" t="s">
        <v>12</v>
      </c>
      <c r="C13" t="s">
        <v>82</v>
      </c>
      <c r="D13">
        <v>2218</v>
      </c>
      <c r="N13" s="4" cm="1">
        <f t="array" ref="N13">INDEX($A:$A, MATCH($M$1,$B:$B,0)+ROW()-ROW($N$2))</f>
        <v>42339</v>
      </c>
      <c r="O13" cm="1">
        <f t="array" ref="O13">IF(INDEX($C:$C, MATCH($M$1,$B:$B,0)+ROW()-ROW($N$2))="Actual", INDEX($D:$D, MATCH($M$1,$B:$B,0)+ROW()-ROW($N$2)), "")</f>
        <v>2218</v>
      </c>
      <c r="P13" t="str" cm="1">
        <f t="array" ref="P13">IF(INDEX($C:$C, MATCH($M$1,$B:$B,0)+ROW()-ROW($N$2))="Forecast", INDEX($D:$D, MATCH($M$1,$B:$B,0)+ROW()-ROW($N$2)), "")</f>
        <v/>
      </c>
      <c r="Q13" t="str" cm="1">
        <f t="array" ref="Q13">IF(INDEX($C:$C, MATCH($M$1,$B:$B,0)+ROW()-ROW($N$2))="Forecast", INDEX($E:$E, MATCH($M$1,$B:$B,0)+ROW()-ROW($N$2)), "")</f>
        <v/>
      </c>
      <c r="R13" t="str" cm="1">
        <f t="array" ref="R13">IF(INDEX($C:$C, MATCH($M$1,$B:$B,0)+ROW()-ROW($N$2))="Forecast", INDEX($F:$F, MATCH($M$1,$B:$B,0)+ROW()-ROW($N$2)), "")</f>
        <v/>
      </c>
    </row>
    <row r="14" spans="1:19" x14ac:dyDescent="0.3">
      <c r="A14" s="4">
        <v>42370</v>
      </c>
      <c r="B14" t="s">
        <v>12</v>
      </c>
      <c r="C14" t="s">
        <v>82</v>
      </c>
      <c r="D14">
        <v>2188</v>
      </c>
      <c r="N14" s="4" cm="1">
        <f t="array" ref="N14">INDEX($A:$A, MATCH($M$1,$B:$B,0)+ROW()-ROW($N$2))</f>
        <v>42370</v>
      </c>
      <c r="O14" cm="1">
        <f t="array" ref="O14">IF(INDEX($C:$C, MATCH($M$1,$B:$B,0)+ROW()-ROW($N$2))="Actual", INDEX($D:$D, MATCH($M$1,$B:$B,0)+ROW()-ROW($N$2)), "")</f>
        <v>2188</v>
      </c>
      <c r="P14" t="str" cm="1">
        <f t="array" ref="P14">IF(INDEX($C:$C, MATCH($M$1,$B:$B,0)+ROW()-ROW($N$2))="Forecast", INDEX($D:$D, MATCH($M$1,$B:$B,0)+ROW()-ROW($N$2)), "")</f>
        <v/>
      </c>
      <c r="Q14" t="str" cm="1">
        <f t="array" ref="Q14">IF(INDEX($C:$C, MATCH($M$1,$B:$B,0)+ROW()-ROW($N$2))="Forecast", INDEX($E:$E, MATCH($M$1,$B:$B,0)+ROW()-ROW($N$2)), "")</f>
        <v/>
      </c>
      <c r="R14" t="str" cm="1">
        <f t="array" ref="R14">IF(INDEX($C:$C, MATCH($M$1,$B:$B,0)+ROW()-ROW($N$2))="Forecast", INDEX($F:$F, MATCH($M$1,$B:$B,0)+ROW()-ROW($N$2)), "")</f>
        <v/>
      </c>
    </row>
    <row r="15" spans="1:19" x14ac:dyDescent="0.3">
      <c r="A15" s="4">
        <v>42401</v>
      </c>
      <c r="B15" t="s">
        <v>12</v>
      </c>
      <c r="C15" t="s">
        <v>82</v>
      </c>
      <c r="D15">
        <v>2047</v>
      </c>
      <c r="N15" s="4" cm="1">
        <f t="array" ref="N15">INDEX($A:$A, MATCH($M$1,$B:$B,0)+ROW()-ROW($N$2))</f>
        <v>42401</v>
      </c>
      <c r="O15" cm="1">
        <f t="array" ref="O15">IF(INDEX($C:$C, MATCH($M$1,$B:$B,0)+ROW()-ROW($N$2))="Actual", INDEX($D:$D, MATCH($M$1,$B:$B,0)+ROW()-ROW($N$2)), "")</f>
        <v>2047</v>
      </c>
      <c r="P15" t="str" cm="1">
        <f t="array" ref="P15">IF(INDEX($C:$C, MATCH($M$1,$B:$B,0)+ROW()-ROW($N$2))="Forecast", INDEX($D:$D, MATCH($M$1,$B:$B,0)+ROW()-ROW($N$2)), "")</f>
        <v/>
      </c>
      <c r="Q15" t="str" cm="1">
        <f t="array" ref="Q15">IF(INDEX($C:$C, MATCH($M$1,$B:$B,0)+ROW()-ROW($N$2))="Forecast", INDEX($E:$E, MATCH($M$1,$B:$B,0)+ROW()-ROW($N$2)), "")</f>
        <v/>
      </c>
      <c r="R15" t="str" cm="1">
        <f t="array" ref="R15">IF(INDEX($C:$C, MATCH($M$1,$B:$B,0)+ROW()-ROW($N$2))="Forecast", INDEX($F:$F, MATCH($M$1,$B:$B,0)+ROW()-ROW($N$2)), "")</f>
        <v/>
      </c>
    </row>
    <row r="16" spans="1:19" x14ac:dyDescent="0.3">
      <c r="A16" s="4">
        <v>42430</v>
      </c>
      <c r="B16" t="s">
        <v>12</v>
      </c>
      <c r="C16" t="s">
        <v>82</v>
      </c>
      <c r="D16">
        <v>2401</v>
      </c>
      <c r="N16" s="4" cm="1">
        <f t="array" ref="N16">INDEX($A:$A, MATCH($M$1,$B:$B,0)+ROW()-ROW($N$2))</f>
        <v>42430</v>
      </c>
      <c r="O16" cm="1">
        <f t="array" ref="O16">IF(INDEX($C:$C, MATCH($M$1,$B:$B,0)+ROW()-ROW($N$2))="Actual", INDEX($D:$D, MATCH($M$1,$B:$B,0)+ROW()-ROW($N$2)), "")</f>
        <v>2401</v>
      </c>
      <c r="P16" t="str" cm="1">
        <f t="array" ref="P16">IF(INDEX($C:$C, MATCH($M$1,$B:$B,0)+ROW()-ROW($N$2))="Forecast", INDEX($D:$D, MATCH($M$1,$B:$B,0)+ROW()-ROW($N$2)), "")</f>
        <v/>
      </c>
      <c r="Q16" t="str" cm="1">
        <f t="array" ref="Q16">IF(INDEX($C:$C, MATCH($M$1,$B:$B,0)+ROW()-ROW($N$2))="Forecast", INDEX($E:$E, MATCH($M$1,$B:$B,0)+ROW()-ROW($N$2)), "")</f>
        <v/>
      </c>
      <c r="R16" t="str" cm="1">
        <f t="array" ref="R16">IF(INDEX($C:$C, MATCH($M$1,$B:$B,0)+ROW()-ROW($N$2))="Forecast", INDEX($F:$F, MATCH($M$1,$B:$B,0)+ROW()-ROW($N$2)), "")</f>
        <v/>
      </c>
    </row>
    <row r="17" spans="1:18" x14ac:dyDescent="0.3">
      <c r="A17" s="4">
        <v>42461</v>
      </c>
      <c r="B17" t="s">
        <v>12</v>
      </c>
      <c r="C17" t="s">
        <v>82</v>
      </c>
      <c r="D17">
        <v>2225</v>
      </c>
      <c r="N17" s="4" cm="1">
        <f t="array" ref="N17">INDEX($A:$A, MATCH($M$1,$B:$B,0)+ROW()-ROW($N$2))</f>
        <v>42461</v>
      </c>
      <c r="O17" cm="1">
        <f t="array" ref="O17">IF(INDEX($C:$C, MATCH($M$1,$B:$B,0)+ROW()-ROW($N$2))="Actual", INDEX($D:$D, MATCH($M$1,$B:$B,0)+ROW()-ROW($N$2)), "")</f>
        <v>2225</v>
      </c>
      <c r="P17" t="str" cm="1">
        <f t="array" ref="P17">IF(INDEX($C:$C, MATCH($M$1,$B:$B,0)+ROW()-ROW($N$2))="Forecast", INDEX($D:$D, MATCH($M$1,$B:$B,0)+ROW()-ROW($N$2)), "")</f>
        <v/>
      </c>
      <c r="Q17" t="str" cm="1">
        <f t="array" ref="Q17">IF(INDEX($C:$C, MATCH($M$1,$B:$B,0)+ROW()-ROW($N$2))="Forecast", INDEX($E:$E, MATCH($M$1,$B:$B,0)+ROW()-ROW($N$2)), "")</f>
        <v/>
      </c>
      <c r="R17" t="str" cm="1">
        <f t="array" ref="R17">IF(INDEX($C:$C, MATCH($M$1,$B:$B,0)+ROW()-ROW($N$2))="Forecast", INDEX($F:$F, MATCH($M$1,$B:$B,0)+ROW()-ROW($N$2)), "")</f>
        <v/>
      </c>
    </row>
    <row r="18" spans="1:18" x14ac:dyDescent="0.3">
      <c r="A18" s="4">
        <v>42491</v>
      </c>
      <c r="B18" t="s">
        <v>12</v>
      </c>
      <c r="C18" t="s">
        <v>82</v>
      </c>
      <c r="D18">
        <v>2432</v>
      </c>
      <c r="N18" s="4" cm="1">
        <f t="array" ref="N18">INDEX($A:$A, MATCH($M$1,$B:$B,0)+ROW()-ROW($N$2))</f>
        <v>42491</v>
      </c>
      <c r="O18" cm="1">
        <f t="array" ref="O18">IF(INDEX($C:$C, MATCH($M$1,$B:$B,0)+ROW()-ROW($N$2))="Actual", INDEX($D:$D, MATCH($M$1,$B:$B,0)+ROW()-ROW($N$2)), "")</f>
        <v>2432</v>
      </c>
      <c r="P18" t="str" cm="1">
        <f t="array" ref="P18">IF(INDEX($C:$C, MATCH($M$1,$B:$B,0)+ROW()-ROW($N$2))="Forecast", INDEX($D:$D, MATCH($M$1,$B:$B,0)+ROW()-ROW($N$2)), "")</f>
        <v/>
      </c>
      <c r="Q18" t="str" cm="1">
        <f t="array" ref="Q18">IF(INDEX($C:$C, MATCH($M$1,$B:$B,0)+ROW()-ROW($N$2))="Forecast", INDEX($E:$E, MATCH($M$1,$B:$B,0)+ROW()-ROW($N$2)), "")</f>
        <v/>
      </c>
      <c r="R18" t="str" cm="1">
        <f t="array" ref="R18">IF(INDEX($C:$C, MATCH($M$1,$B:$B,0)+ROW()-ROW($N$2))="Forecast", INDEX($F:$F, MATCH($M$1,$B:$B,0)+ROW()-ROW($N$2)), "")</f>
        <v/>
      </c>
    </row>
    <row r="19" spans="1:18" x14ac:dyDescent="0.3">
      <c r="A19" s="4">
        <v>42522</v>
      </c>
      <c r="B19" t="s">
        <v>12</v>
      </c>
      <c r="C19" t="s">
        <v>82</v>
      </c>
      <c r="D19">
        <v>2181</v>
      </c>
      <c r="N19" s="4" cm="1">
        <f t="array" ref="N19">INDEX($A:$A, MATCH($M$1,$B:$B,0)+ROW()-ROW($N$2))</f>
        <v>42522</v>
      </c>
      <c r="O19" cm="1">
        <f t="array" ref="O19">IF(INDEX($C:$C, MATCH($M$1,$B:$B,0)+ROW()-ROW($N$2))="Actual", INDEX($D:$D, MATCH($M$1,$B:$B,0)+ROW()-ROW($N$2)), "")</f>
        <v>2181</v>
      </c>
      <c r="P19" t="str" cm="1">
        <f t="array" ref="P19">IF(INDEX($C:$C, MATCH($M$1,$B:$B,0)+ROW()-ROW($N$2))="Forecast", INDEX($D:$D, MATCH($M$1,$B:$B,0)+ROW()-ROW($N$2)), "")</f>
        <v/>
      </c>
      <c r="Q19" t="str" cm="1">
        <f t="array" ref="Q19">IF(INDEX($C:$C, MATCH($M$1,$B:$B,0)+ROW()-ROW($N$2))="Forecast", INDEX($E:$E, MATCH($M$1,$B:$B,0)+ROW()-ROW($N$2)), "")</f>
        <v/>
      </c>
      <c r="R19" t="str" cm="1">
        <f t="array" ref="R19">IF(INDEX($C:$C, MATCH($M$1,$B:$B,0)+ROW()-ROW($N$2))="Forecast", INDEX($F:$F, MATCH($M$1,$B:$B,0)+ROW()-ROW($N$2)), "")</f>
        <v/>
      </c>
    </row>
    <row r="20" spans="1:18" x14ac:dyDescent="0.3">
      <c r="A20" s="4">
        <v>42552</v>
      </c>
      <c r="B20" t="s">
        <v>12</v>
      </c>
      <c r="C20" t="s">
        <v>82</v>
      </c>
      <c r="D20">
        <v>2228</v>
      </c>
      <c r="N20" s="4" cm="1">
        <f t="array" ref="N20">INDEX($A:$A, MATCH($M$1,$B:$B,0)+ROW()-ROW($N$2))</f>
        <v>42552</v>
      </c>
      <c r="O20" cm="1">
        <f t="array" ref="O20">IF(INDEX($C:$C, MATCH($M$1,$B:$B,0)+ROW()-ROW($N$2))="Actual", INDEX($D:$D, MATCH($M$1,$B:$B,0)+ROW()-ROW($N$2)), "")</f>
        <v>2228</v>
      </c>
      <c r="P20" t="str" cm="1">
        <f t="array" ref="P20">IF(INDEX($C:$C, MATCH($M$1,$B:$B,0)+ROW()-ROW($N$2))="Forecast", INDEX($D:$D, MATCH($M$1,$B:$B,0)+ROW()-ROW($N$2)), "")</f>
        <v/>
      </c>
      <c r="Q20" t="str" cm="1">
        <f t="array" ref="Q20">IF(INDEX($C:$C, MATCH($M$1,$B:$B,0)+ROW()-ROW($N$2))="Forecast", INDEX($E:$E, MATCH($M$1,$B:$B,0)+ROW()-ROW($N$2)), "")</f>
        <v/>
      </c>
      <c r="R20" t="str" cm="1">
        <f t="array" ref="R20">IF(INDEX($C:$C, MATCH($M$1,$B:$B,0)+ROW()-ROW($N$2))="Forecast", INDEX($F:$F, MATCH($M$1,$B:$B,0)+ROW()-ROW($N$2)), "")</f>
        <v/>
      </c>
    </row>
    <row r="21" spans="1:18" x14ac:dyDescent="0.3">
      <c r="A21" s="4">
        <v>42583</v>
      </c>
      <c r="B21" t="s">
        <v>12</v>
      </c>
      <c r="C21" t="s">
        <v>82</v>
      </c>
      <c r="D21">
        <v>2311</v>
      </c>
      <c r="N21" s="4" cm="1">
        <f t="array" ref="N21">INDEX($A:$A, MATCH($M$1,$B:$B,0)+ROW()-ROW($N$2))</f>
        <v>42583</v>
      </c>
      <c r="O21" cm="1">
        <f t="array" ref="O21">IF(INDEX($C:$C, MATCH($M$1,$B:$B,0)+ROW()-ROW($N$2))="Actual", INDEX($D:$D, MATCH($M$1,$B:$B,0)+ROW()-ROW($N$2)), "")</f>
        <v>2311</v>
      </c>
      <c r="P21" t="str" cm="1">
        <f t="array" ref="P21">IF(INDEX($C:$C, MATCH($M$1,$B:$B,0)+ROW()-ROW($N$2))="Forecast", INDEX($D:$D, MATCH($M$1,$B:$B,0)+ROW()-ROW($N$2)), "")</f>
        <v/>
      </c>
      <c r="Q21" t="str" cm="1">
        <f t="array" ref="Q21">IF(INDEX($C:$C, MATCH($M$1,$B:$B,0)+ROW()-ROW($N$2))="Forecast", INDEX($E:$E, MATCH($M$1,$B:$B,0)+ROW()-ROW($N$2)), "")</f>
        <v/>
      </c>
      <c r="R21" t="str" cm="1">
        <f t="array" ref="R21">IF(INDEX($C:$C, MATCH($M$1,$B:$B,0)+ROW()-ROW($N$2))="Forecast", INDEX($F:$F, MATCH($M$1,$B:$B,0)+ROW()-ROW($N$2)), "")</f>
        <v/>
      </c>
    </row>
    <row r="22" spans="1:18" x14ac:dyDescent="0.3">
      <c r="A22" s="4">
        <v>42614</v>
      </c>
      <c r="B22" t="s">
        <v>12</v>
      </c>
      <c r="C22" t="s">
        <v>82</v>
      </c>
      <c r="D22">
        <v>2224</v>
      </c>
      <c r="N22" s="4" cm="1">
        <f t="array" ref="N22">INDEX($A:$A, MATCH($M$1,$B:$B,0)+ROW()-ROW($N$2))</f>
        <v>42614</v>
      </c>
      <c r="O22" cm="1">
        <f t="array" ref="O22">IF(INDEX($C:$C, MATCH($M$1,$B:$B,0)+ROW()-ROW($N$2))="Actual", INDEX($D:$D, MATCH($M$1,$B:$B,0)+ROW()-ROW($N$2)), "")</f>
        <v>2224</v>
      </c>
      <c r="P22" t="str" cm="1">
        <f t="array" ref="P22">IF(INDEX($C:$C, MATCH($M$1,$B:$B,0)+ROW()-ROW($N$2))="Forecast", INDEX($D:$D, MATCH($M$1,$B:$B,0)+ROW()-ROW($N$2)), "")</f>
        <v/>
      </c>
      <c r="Q22" t="str" cm="1">
        <f t="array" ref="Q22">IF(INDEX($C:$C, MATCH($M$1,$B:$B,0)+ROW()-ROW($N$2))="Forecast", INDEX($E:$E, MATCH($M$1,$B:$B,0)+ROW()-ROW($N$2)), "")</f>
        <v/>
      </c>
      <c r="R22" t="str" cm="1">
        <f t="array" ref="R22">IF(INDEX($C:$C, MATCH($M$1,$B:$B,0)+ROW()-ROW($N$2))="Forecast", INDEX($F:$F, MATCH($M$1,$B:$B,0)+ROW()-ROW($N$2)), "")</f>
        <v/>
      </c>
    </row>
    <row r="23" spans="1:18" x14ac:dyDescent="0.3">
      <c r="A23" s="4">
        <v>42644</v>
      </c>
      <c r="B23" t="s">
        <v>12</v>
      </c>
      <c r="C23" t="s">
        <v>82</v>
      </c>
      <c r="D23">
        <v>2278</v>
      </c>
      <c r="N23" s="4" cm="1">
        <f t="array" ref="N23">INDEX($A:$A, MATCH($M$1,$B:$B,0)+ROW()-ROW($N$2))</f>
        <v>42644</v>
      </c>
      <c r="O23" cm="1">
        <f t="array" ref="O23">IF(INDEX($C:$C, MATCH($M$1,$B:$B,0)+ROW()-ROW($N$2))="Actual", INDEX($D:$D, MATCH($M$1,$B:$B,0)+ROW()-ROW($N$2)), "")</f>
        <v>2278</v>
      </c>
      <c r="P23" t="str" cm="1">
        <f t="array" ref="P23">IF(INDEX($C:$C, MATCH($M$1,$B:$B,0)+ROW()-ROW($N$2))="Forecast", INDEX($D:$D, MATCH($M$1,$B:$B,0)+ROW()-ROW($N$2)), "")</f>
        <v/>
      </c>
      <c r="Q23" t="str" cm="1">
        <f t="array" ref="Q23">IF(INDEX($C:$C, MATCH($M$1,$B:$B,0)+ROW()-ROW($N$2))="Forecast", INDEX($E:$E, MATCH($M$1,$B:$B,0)+ROW()-ROW($N$2)), "")</f>
        <v/>
      </c>
      <c r="R23" t="str" cm="1">
        <f t="array" ref="R23">IF(INDEX($C:$C, MATCH($M$1,$B:$B,0)+ROW()-ROW($N$2))="Forecast", INDEX($F:$F, MATCH($M$1,$B:$B,0)+ROW()-ROW($N$2)), "")</f>
        <v/>
      </c>
    </row>
    <row r="24" spans="1:18" x14ac:dyDescent="0.3">
      <c r="A24" s="4">
        <v>42675</v>
      </c>
      <c r="B24" t="s">
        <v>12</v>
      </c>
      <c r="C24" t="s">
        <v>82</v>
      </c>
      <c r="D24">
        <v>2260</v>
      </c>
      <c r="N24" s="4" cm="1">
        <f t="array" ref="N24">INDEX($A:$A, MATCH($M$1,$B:$B,0)+ROW()-ROW($N$2))</f>
        <v>42675</v>
      </c>
      <c r="O24" cm="1">
        <f t="array" ref="O24">IF(INDEX($C:$C, MATCH($M$1,$B:$B,0)+ROW()-ROW($N$2))="Actual", INDEX($D:$D, MATCH($M$1,$B:$B,0)+ROW()-ROW($N$2)), "")</f>
        <v>2260</v>
      </c>
      <c r="P24" t="str" cm="1">
        <f t="array" ref="P24">IF(INDEX($C:$C, MATCH($M$1,$B:$B,0)+ROW()-ROW($N$2))="Forecast", INDEX($D:$D, MATCH($M$1,$B:$B,0)+ROW()-ROW($N$2)), "")</f>
        <v/>
      </c>
      <c r="Q24" t="str" cm="1">
        <f t="array" ref="Q24">IF(INDEX($C:$C, MATCH($M$1,$B:$B,0)+ROW()-ROW($N$2))="Forecast", INDEX($E:$E, MATCH($M$1,$B:$B,0)+ROW()-ROW($N$2)), "")</f>
        <v/>
      </c>
      <c r="R24" t="str" cm="1">
        <f t="array" ref="R24">IF(INDEX($C:$C, MATCH($M$1,$B:$B,0)+ROW()-ROW($N$2))="Forecast", INDEX($F:$F, MATCH($M$1,$B:$B,0)+ROW()-ROW($N$2)), "")</f>
        <v/>
      </c>
    </row>
    <row r="25" spans="1:18" x14ac:dyDescent="0.3">
      <c r="A25" s="4">
        <v>42705</v>
      </c>
      <c r="B25" t="s">
        <v>12</v>
      </c>
      <c r="C25" t="s">
        <v>82</v>
      </c>
      <c r="D25">
        <v>2361</v>
      </c>
      <c r="N25" s="4" cm="1">
        <f t="array" ref="N25">INDEX($A:$A, MATCH($M$1,$B:$B,0)+ROW()-ROW($N$2))</f>
        <v>42705</v>
      </c>
      <c r="O25" cm="1">
        <f t="array" ref="O25">IF(INDEX($C:$C, MATCH($M$1,$B:$B,0)+ROW()-ROW($N$2))="Actual", INDEX($D:$D, MATCH($M$1,$B:$B,0)+ROW()-ROW($N$2)), "")</f>
        <v>2361</v>
      </c>
      <c r="P25" t="str" cm="1">
        <f t="array" ref="P25">IF(INDEX($C:$C, MATCH($M$1,$B:$B,0)+ROW()-ROW($N$2))="Forecast", INDEX($D:$D, MATCH($M$1,$B:$B,0)+ROW()-ROW($N$2)), "")</f>
        <v/>
      </c>
      <c r="Q25" t="str" cm="1">
        <f t="array" ref="Q25">IF(INDEX($C:$C, MATCH($M$1,$B:$B,0)+ROW()-ROW($N$2))="Forecast", INDEX($E:$E, MATCH($M$1,$B:$B,0)+ROW()-ROW($N$2)), "")</f>
        <v/>
      </c>
      <c r="R25" t="str" cm="1">
        <f t="array" ref="R25">IF(INDEX($C:$C, MATCH($M$1,$B:$B,0)+ROW()-ROW($N$2))="Forecast", INDEX($F:$F, MATCH($M$1,$B:$B,0)+ROW()-ROW($N$2)), "")</f>
        <v/>
      </c>
    </row>
    <row r="26" spans="1:18" x14ac:dyDescent="0.3">
      <c r="A26" s="4">
        <v>42736</v>
      </c>
      <c r="B26" t="s">
        <v>12</v>
      </c>
      <c r="C26" t="s">
        <v>82</v>
      </c>
      <c r="D26">
        <v>2270</v>
      </c>
      <c r="N26" s="4" cm="1">
        <f t="array" ref="N26">INDEX($A:$A, MATCH($M$1,$B:$B,0)+ROW()-ROW($N$2))</f>
        <v>42736</v>
      </c>
      <c r="O26" cm="1">
        <f t="array" ref="O26">IF(INDEX($C:$C, MATCH($M$1,$B:$B,0)+ROW()-ROW($N$2))="Actual", INDEX($D:$D, MATCH($M$1,$B:$B,0)+ROW()-ROW($N$2)), "")</f>
        <v>2270</v>
      </c>
      <c r="P26" t="str" cm="1">
        <f t="array" ref="P26">IF(INDEX($C:$C, MATCH($M$1,$B:$B,0)+ROW()-ROW($N$2))="Forecast", INDEX($D:$D, MATCH($M$1,$B:$B,0)+ROW()-ROW($N$2)), "")</f>
        <v/>
      </c>
      <c r="Q26" t="str" cm="1">
        <f t="array" ref="Q26">IF(INDEX($C:$C, MATCH($M$1,$B:$B,0)+ROW()-ROW($N$2))="Forecast", INDEX($E:$E, MATCH($M$1,$B:$B,0)+ROW()-ROW($N$2)), "")</f>
        <v/>
      </c>
      <c r="R26" t="str" cm="1">
        <f t="array" ref="R26">IF(INDEX($C:$C, MATCH($M$1,$B:$B,0)+ROW()-ROW($N$2))="Forecast", INDEX($F:$F, MATCH($M$1,$B:$B,0)+ROW()-ROW($N$2)), "")</f>
        <v/>
      </c>
    </row>
    <row r="27" spans="1:18" x14ac:dyDescent="0.3">
      <c r="A27" s="4">
        <v>42767</v>
      </c>
      <c r="B27" t="s">
        <v>12</v>
      </c>
      <c r="C27" t="s">
        <v>82</v>
      </c>
      <c r="D27">
        <v>2136</v>
      </c>
      <c r="N27" s="4" cm="1">
        <f t="array" ref="N27">INDEX($A:$A, MATCH($M$1,$B:$B,0)+ROW()-ROW($N$2))</f>
        <v>42767</v>
      </c>
      <c r="O27" cm="1">
        <f t="array" ref="O27">IF(INDEX($C:$C, MATCH($M$1,$B:$B,0)+ROW()-ROW($N$2))="Actual", INDEX($D:$D, MATCH($M$1,$B:$B,0)+ROW()-ROW($N$2)), "")</f>
        <v>2136</v>
      </c>
      <c r="P27" t="str" cm="1">
        <f t="array" ref="P27">IF(INDEX($C:$C, MATCH($M$1,$B:$B,0)+ROW()-ROW($N$2))="Forecast", INDEX($D:$D, MATCH($M$1,$B:$B,0)+ROW()-ROW($N$2)), "")</f>
        <v/>
      </c>
      <c r="Q27" t="str" cm="1">
        <f t="array" ref="Q27">IF(INDEX($C:$C, MATCH($M$1,$B:$B,0)+ROW()-ROW($N$2))="Forecast", INDEX($E:$E, MATCH($M$1,$B:$B,0)+ROW()-ROW($N$2)), "")</f>
        <v/>
      </c>
      <c r="R27" t="str" cm="1">
        <f t="array" ref="R27">IF(INDEX($C:$C, MATCH($M$1,$B:$B,0)+ROW()-ROW($N$2))="Forecast", INDEX($F:$F, MATCH($M$1,$B:$B,0)+ROW()-ROW($N$2)), "")</f>
        <v/>
      </c>
    </row>
    <row r="28" spans="1:18" x14ac:dyDescent="0.3">
      <c r="A28" s="4">
        <v>42795</v>
      </c>
      <c r="B28" t="s">
        <v>12</v>
      </c>
      <c r="C28" t="s">
        <v>82</v>
      </c>
      <c r="D28">
        <v>2215</v>
      </c>
      <c r="N28" s="4" cm="1">
        <f t="array" ref="N28">INDEX($A:$A, MATCH($M$1,$B:$B,0)+ROW()-ROW($N$2))</f>
        <v>42795</v>
      </c>
      <c r="O28" cm="1">
        <f t="array" ref="O28">IF(INDEX($C:$C, MATCH($M$1,$B:$B,0)+ROW()-ROW($N$2))="Actual", INDEX($D:$D, MATCH($M$1,$B:$B,0)+ROW()-ROW($N$2)), "")</f>
        <v>2215</v>
      </c>
      <c r="P28" t="str" cm="1">
        <f t="array" ref="P28">IF(INDEX($C:$C, MATCH($M$1,$B:$B,0)+ROW()-ROW($N$2))="Forecast", INDEX($D:$D, MATCH($M$1,$B:$B,0)+ROW()-ROW($N$2)), "")</f>
        <v/>
      </c>
      <c r="Q28" t="str" cm="1">
        <f t="array" ref="Q28">IF(INDEX($C:$C, MATCH($M$1,$B:$B,0)+ROW()-ROW($N$2))="Forecast", INDEX($E:$E, MATCH($M$1,$B:$B,0)+ROW()-ROW($N$2)), "")</f>
        <v/>
      </c>
      <c r="R28" t="str" cm="1">
        <f t="array" ref="R28">IF(INDEX($C:$C, MATCH($M$1,$B:$B,0)+ROW()-ROW($N$2))="Forecast", INDEX($F:$F, MATCH($M$1,$B:$B,0)+ROW()-ROW($N$2)), "")</f>
        <v/>
      </c>
    </row>
    <row r="29" spans="1:18" x14ac:dyDescent="0.3">
      <c r="A29" s="4">
        <v>42826</v>
      </c>
      <c r="B29" t="s">
        <v>12</v>
      </c>
      <c r="C29" t="s">
        <v>82</v>
      </c>
      <c r="D29">
        <v>2224</v>
      </c>
      <c r="N29" s="4" cm="1">
        <f t="array" ref="N29">INDEX($A:$A, MATCH($M$1,$B:$B,0)+ROW()-ROW($N$2))</f>
        <v>42826</v>
      </c>
      <c r="O29" cm="1">
        <f t="array" ref="O29">IF(INDEX($C:$C, MATCH($M$1,$B:$B,0)+ROW()-ROW($N$2))="Actual", INDEX($D:$D, MATCH($M$1,$B:$B,0)+ROW()-ROW($N$2)), "")</f>
        <v>2224</v>
      </c>
      <c r="P29" t="str" cm="1">
        <f t="array" ref="P29">IF(INDEX($C:$C, MATCH($M$1,$B:$B,0)+ROW()-ROW($N$2))="Forecast", INDEX($D:$D, MATCH($M$1,$B:$B,0)+ROW()-ROW($N$2)), "")</f>
        <v/>
      </c>
      <c r="Q29" t="str" cm="1">
        <f t="array" ref="Q29">IF(INDEX($C:$C, MATCH($M$1,$B:$B,0)+ROW()-ROW($N$2))="Forecast", INDEX($E:$E, MATCH($M$1,$B:$B,0)+ROW()-ROW($N$2)), "")</f>
        <v/>
      </c>
      <c r="R29" t="str" cm="1">
        <f t="array" ref="R29">IF(INDEX($C:$C, MATCH($M$1,$B:$B,0)+ROW()-ROW($N$2))="Forecast", INDEX($F:$F, MATCH($M$1,$B:$B,0)+ROW()-ROW($N$2)), "")</f>
        <v/>
      </c>
    </row>
    <row r="30" spans="1:18" x14ac:dyDescent="0.3">
      <c r="A30" s="4">
        <v>42856</v>
      </c>
      <c r="B30" t="s">
        <v>12</v>
      </c>
      <c r="C30" t="s">
        <v>82</v>
      </c>
      <c r="D30">
        <v>2218</v>
      </c>
      <c r="N30" s="4" cm="1">
        <f t="array" ref="N30">INDEX($A:$A, MATCH($M$1,$B:$B,0)+ROW()-ROW($N$2))</f>
        <v>42856</v>
      </c>
      <c r="O30" cm="1">
        <f t="array" ref="O30">IF(INDEX($C:$C, MATCH($M$1,$B:$B,0)+ROW()-ROW($N$2))="Actual", INDEX($D:$D, MATCH($M$1,$B:$B,0)+ROW()-ROW($N$2)), "")</f>
        <v>2218</v>
      </c>
      <c r="P30" t="str" cm="1">
        <f t="array" ref="P30">IF(INDEX($C:$C, MATCH($M$1,$B:$B,0)+ROW()-ROW($N$2))="Forecast", INDEX($D:$D, MATCH($M$1,$B:$B,0)+ROW()-ROW($N$2)), "")</f>
        <v/>
      </c>
      <c r="Q30" t="str" cm="1">
        <f t="array" ref="Q30">IF(INDEX($C:$C, MATCH($M$1,$B:$B,0)+ROW()-ROW($N$2))="Forecast", INDEX($E:$E, MATCH($M$1,$B:$B,0)+ROW()-ROW($N$2)), "")</f>
        <v/>
      </c>
      <c r="R30" t="str" cm="1">
        <f t="array" ref="R30">IF(INDEX($C:$C, MATCH($M$1,$B:$B,0)+ROW()-ROW($N$2))="Forecast", INDEX($F:$F, MATCH($M$1,$B:$B,0)+ROW()-ROW($N$2)), "")</f>
        <v/>
      </c>
    </row>
    <row r="31" spans="1:18" x14ac:dyDescent="0.3">
      <c r="A31" s="4">
        <v>42887</v>
      </c>
      <c r="B31" t="s">
        <v>12</v>
      </c>
      <c r="C31" t="s">
        <v>82</v>
      </c>
      <c r="D31">
        <v>1934</v>
      </c>
      <c r="N31" s="4" cm="1">
        <f t="array" ref="N31">INDEX($A:$A, MATCH($M$1,$B:$B,0)+ROW()-ROW($N$2))</f>
        <v>42887</v>
      </c>
      <c r="O31" cm="1">
        <f t="array" ref="O31">IF(INDEX($C:$C, MATCH($M$1,$B:$B,0)+ROW()-ROW($N$2))="Actual", INDEX($D:$D, MATCH($M$1,$B:$B,0)+ROW()-ROW($N$2)), "")</f>
        <v>1934</v>
      </c>
      <c r="P31" t="str" cm="1">
        <f t="array" ref="P31">IF(INDEX($C:$C, MATCH($M$1,$B:$B,0)+ROW()-ROW($N$2))="Forecast", INDEX($D:$D, MATCH($M$1,$B:$B,0)+ROW()-ROW($N$2)), "")</f>
        <v/>
      </c>
      <c r="Q31" t="str" cm="1">
        <f t="array" ref="Q31">IF(INDEX($C:$C, MATCH($M$1,$B:$B,0)+ROW()-ROW($N$2))="Forecast", INDEX($E:$E, MATCH($M$1,$B:$B,0)+ROW()-ROW($N$2)), "")</f>
        <v/>
      </c>
      <c r="R31" t="str" cm="1">
        <f t="array" ref="R31">IF(INDEX($C:$C, MATCH($M$1,$B:$B,0)+ROW()-ROW($N$2))="Forecast", INDEX($F:$F, MATCH($M$1,$B:$B,0)+ROW()-ROW($N$2)), "")</f>
        <v/>
      </c>
    </row>
    <row r="32" spans="1:18" x14ac:dyDescent="0.3">
      <c r="A32" s="4">
        <v>42917</v>
      </c>
      <c r="B32" t="s">
        <v>12</v>
      </c>
      <c r="C32" t="s">
        <v>82</v>
      </c>
      <c r="D32">
        <v>2305</v>
      </c>
      <c r="N32" s="4" cm="1">
        <f t="array" ref="N32">INDEX($A:$A, MATCH($M$1,$B:$B,0)+ROW()-ROW($N$2))</f>
        <v>42917</v>
      </c>
      <c r="O32" cm="1">
        <f t="array" ref="O32">IF(INDEX($C:$C, MATCH($M$1,$B:$B,0)+ROW()-ROW($N$2))="Actual", INDEX($D:$D, MATCH($M$1,$B:$B,0)+ROW()-ROW($N$2)), "")</f>
        <v>2305</v>
      </c>
      <c r="P32" t="str" cm="1">
        <f t="array" ref="P32">IF(INDEX($C:$C, MATCH($M$1,$B:$B,0)+ROW()-ROW($N$2))="Forecast", INDEX($D:$D, MATCH($M$1,$B:$B,0)+ROW()-ROW($N$2)), "")</f>
        <v/>
      </c>
      <c r="Q32" t="str" cm="1">
        <f t="array" ref="Q32">IF(INDEX($C:$C, MATCH($M$1,$B:$B,0)+ROW()-ROW($N$2))="Forecast", INDEX($E:$E, MATCH($M$1,$B:$B,0)+ROW()-ROW($N$2)), "")</f>
        <v/>
      </c>
      <c r="R32" t="str" cm="1">
        <f t="array" ref="R32">IF(INDEX($C:$C, MATCH($M$1,$B:$B,0)+ROW()-ROW($N$2))="Forecast", INDEX($F:$F, MATCH($M$1,$B:$B,0)+ROW()-ROW($N$2)), "")</f>
        <v/>
      </c>
    </row>
    <row r="33" spans="1:19" x14ac:dyDescent="0.3">
      <c r="A33" s="4">
        <v>42948</v>
      </c>
      <c r="B33" t="s">
        <v>12</v>
      </c>
      <c r="C33" t="s">
        <v>82</v>
      </c>
      <c r="D33">
        <v>2313</v>
      </c>
      <c r="N33" s="4" cm="1">
        <f t="array" ref="N33">INDEX($A:$A, MATCH($M$1,$B:$B,0)+ROW()-ROW($N$2))</f>
        <v>42948</v>
      </c>
      <c r="O33" cm="1">
        <f t="array" ref="O33">IF(INDEX($C:$C, MATCH($M$1,$B:$B,0)+ROW()-ROW($N$2))="Actual", INDEX($D:$D, MATCH($M$1,$B:$B,0)+ROW()-ROW($N$2)), "")</f>
        <v>2313</v>
      </c>
      <c r="P33" t="str" cm="1">
        <f t="array" ref="P33">IF(INDEX($C:$C, MATCH($M$1,$B:$B,0)+ROW()-ROW($N$2))="Forecast", INDEX($D:$D, MATCH($M$1,$B:$B,0)+ROW()-ROW($N$2)), "")</f>
        <v/>
      </c>
      <c r="Q33" t="str" cm="1">
        <f t="array" ref="Q33">IF(INDEX($C:$C, MATCH($M$1,$B:$B,0)+ROW()-ROW($N$2))="Forecast", INDEX($E:$E, MATCH($M$1,$B:$B,0)+ROW()-ROW($N$2)), "")</f>
        <v/>
      </c>
      <c r="R33" t="str" cm="1">
        <f t="array" ref="R33">IF(INDEX($C:$C, MATCH($M$1,$B:$B,0)+ROW()-ROW($N$2))="Forecast", INDEX($F:$F, MATCH($M$1,$B:$B,0)+ROW()-ROW($N$2)), "")</f>
        <v/>
      </c>
    </row>
    <row r="34" spans="1:19" x14ac:dyDescent="0.3">
      <c r="A34" s="4">
        <v>42979</v>
      </c>
      <c r="B34" t="s">
        <v>12</v>
      </c>
      <c r="C34" t="s">
        <v>82</v>
      </c>
      <c r="D34">
        <v>2108</v>
      </c>
      <c r="N34" s="4" cm="1">
        <f t="array" ref="N34">INDEX($A:$A, MATCH($M$1,$B:$B,0)+ROW()-ROW($N$2))</f>
        <v>42979</v>
      </c>
      <c r="O34" cm="1">
        <f t="array" ref="O34">IF(INDEX($C:$C, MATCH($M$1,$B:$B,0)+ROW()-ROW($N$2))="Actual", INDEX($D:$D, MATCH($M$1,$B:$B,0)+ROW()-ROW($N$2)), "")</f>
        <v>2108</v>
      </c>
      <c r="P34" t="str" cm="1">
        <f t="array" ref="P34">IF(INDEX($C:$C, MATCH($M$1,$B:$B,0)+ROW()-ROW($N$2))="Forecast", INDEX($D:$D, MATCH($M$1,$B:$B,0)+ROW()-ROW($N$2)), "")</f>
        <v/>
      </c>
      <c r="Q34" t="str" cm="1">
        <f t="array" ref="Q34">IF(INDEX($C:$C, MATCH($M$1,$B:$B,0)+ROW()-ROW($N$2))="Forecast", INDEX($E:$E, MATCH($M$1,$B:$B,0)+ROW()-ROW($N$2)), "")</f>
        <v/>
      </c>
      <c r="R34" t="str" cm="1">
        <f t="array" ref="R34">IF(INDEX($C:$C, MATCH($M$1,$B:$B,0)+ROW()-ROW($N$2))="Forecast", INDEX($F:$F, MATCH($M$1,$B:$B,0)+ROW()-ROW($N$2)), "")</f>
        <v/>
      </c>
    </row>
    <row r="35" spans="1:19" x14ac:dyDescent="0.3">
      <c r="A35" s="4">
        <v>43009</v>
      </c>
      <c r="B35" t="s">
        <v>12</v>
      </c>
      <c r="C35" t="s">
        <v>83</v>
      </c>
      <c r="D35">
        <v>2266</v>
      </c>
      <c r="E35">
        <v>2054</v>
      </c>
      <c r="F35">
        <v>2479</v>
      </c>
      <c r="N35" s="4" cm="1">
        <f t="array" ref="N35">INDEX($A:$A, MATCH($M$1,$B:$B,0)+ROW()-ROW($N$2))</f>
        <v>43009</v>
      </c>
      <c r="P35" cm="1">
        <f t="array" ref="P35">IF(INDEX($C:$C, MATCH($M$1,$B:$B,0)+ROW()-ROW($N$2))="Forecast", INDEX($D:$D, MATCH($M$1,$B:$B,0)+ROW()-ROW($N$2)), "")</f>
        <v>2266</v>
      </c>
      <c r="Q35" cm="1">
        <f t="array" ref="Q35">IF(INDEX($C:$C, MATCH($M$1,$B:$B,0)+ROW()-ROW($N$2))="Forecast", INDEX($E:$E, MATCH($M$1,$B:$B,0)+ROW()-ROW($N$2)), "")</f>
        <v>2054</v>
      </c>
      <c r="R35" cm="1">
        <f t="array" ref="R35">IF(INDEX($C:$C, MATCH($M$1,$B:$B,0)+ROW()-ROW($N$2))="Forecast", INDEX($F:$F, MATCH($M$1,$B:$B,0)+ROW()-ROW($N$2)), "")</f>
        <v>2479</v>
      </c>
      <c r="S35">
        <f>R35-Q35</f>
        <v>425</v>
      </c>
    </row>
    <row r="36" spans="1:19" x14ac:dyDescent="0.3">
      <c r="A36" s="4">
        <v>43040</v>
      </c>
      <c r="B36" t="s">
        <v>12</v>
      </c>
      <c r="C36" t="s">
        <v>83</v>
      </c>
      <c r="D36">
        <v>2219</v>
      </c>
      <c r="E36">
        <v>1999</v>
      </c>
      <c r="F36">
        <v>2439</v>
      </c>
      <c r="N36" s="4" cm="1">
        <f t="array" ref="N36">INDEX($A:$A, MATCH($M$1,$B:$B,0)+ROW()-ROW($N$2))</f>
        <v>43040</v>
      </c>
      <c r="P36" cm="1">
        <f t="array" ref="P36">IF(INDEX($C:$C, MATCH($M$1,$B:$B,0)+ROW()-ROW($N$2))="Forecast", INDEX($D:$D, MATCH($M$1,$B:$B,0)+ROW()-ROW($N$2)), "")</f>
        <v>2219</v>
      </c>
      <c r="Q36" cm="1">
        <f t="array" ref="Q36">IF(INDEX($C:$C, MATCH($M$1,$B:$B,0)+ROW()-ROW($N$2))="Forecast", INDEX($E:$E, MATCH($M$1,$B:$B,0)+ROW()-ROW($N$2)), "")</f>
        <v>1999</v>
      </c>
      <c r="R36" cm="1">
        <f t="array" ref="R36">IF(INDEX($C:$C, MATCH($M$1,$B:$B,0)+ROW()-ROW($N$2))="Forecast", INDEX($F:$F, MATCH($M$1,$B:$B,0)+ROW()-ROW($N$2)), "")</f>
        <v>2439</v>
      </c>
      <c r="S36">
        <f t="shared" ref="S36:S40" si="0">R36-Q36</f>
        <v>440</v>
      </c>
    </row>
    <row r="37" spans="1:19" x14ac:dyDescent="0.3">
      <c r="A37" s="4">
        <v>43070</v>
      </c>
      <c r="B37" t="s">
        <v>12</v>
      </c>
      <c r="C37" t="s">
        <v>83</v>
      </c>
      <c r="D37">
        <v>2233</v>
      </c>
      <c r="E37">
        <v>2012</v>
      </c>
      <c r="F37">
        <v>2454</v>
      </c>
      <c r="N37" s="4" cm="1">
        <f t="array" ref="N37">INDEX($A:$A, MATCH($M$1,$B:$B,0)+ROW()-ROW($N$2))</f>
        <v>43070</v>
      </c>
      <c r="P37" cm="1">
        <f t="array" ref="P37">IF(INDEX($C:$C, MATCH($M$1,$B:$B,0)+ROW()-ROW($N$2))="Forecast", INDEX($D:$D, MATCH($M$1,$B:$B,0)+ROW()-ROW($N$2)), "")</f>
        <v>2233</v>
      </c>
      <c r="Q37" cm="1">
        <f t="array" ref="Q37">IF(INDEX($C:$C, MATCH($M$1,$B:$B,0)+ROW()-ROW($N$2))="Forecast", INDEX($E:$E, MATCH($M$1,$B:$B,0)+ROW()-ROW($N$2)), "")</f>
        <v>2012</v>
      </c>
      <c r="R37" cm="1">
        <f t="array" ref="R37">IF(INDEX($C:$C, MATCH($M$1,$B:$B,0)+ROW()-ROW($N$2))="Forecast", INDEX($F:$F, MATCH($M$1,$B:$B,0)+ROW()-ROW($N$2)), "")</f>
        <v>2454</v>
      </c>
      <c r="S37">
        <f t="shared" si="0"/>
        <v>442</v>
      </c>
    </row>
    <row r="38" spans="1:19" x14ac:dyDescent="0.3">
      <c r="A38" s="4">
        <v>43101</v>
      </c>
      <c r="B38" t="s">
        <v>12</v>
      </c>
      <c r="C38" t="s">
        <v>83</v>
      </c>
      <c r="D38">
        <v>2229</v>
      </c>
      <c r="E38">
        <v>2008</v>
      </c>
      <c r="F38">
        <v>2450</v>
      </c>
      <c r="N38" s="4" cm="1">
        <f t="array" ref="N38">INDEX($A:$A, MATCH($M$1,$B:$B,0)+ROW()-ROW($N$2))</f>
        <v>43101</v>
      </c>
      <c r="P38" cm="1">
        <f t="array" ref="P38">IF(INDEX($C:$C, MATCH($M$1,$B:$B,0)+ROW()-ROW($N$2))="Forecast", INDEX($D:$D, MATCH($M$1,$B:$B,0)+ROW()-ROW($N$2)), "")</f>
        <v>2229</v>
      </c>
      <c r="Q38" cm="1">
        <f t="array" ref="Q38">IF(INDEX($C:$C, MATCH($M$1,$B:$B,0)+ROW()-ROW($N$2))="Forecast", INDEX($E:$E, MATCH($M$1,$B:$B,0)+ROW()-ROW($N$2)), "")</f>
        <v>2008</v>
      </c>
      <c r="R38" cm="1">
        <f t="array" ref="R38">IF(INDEX($C:$C, MATCH($M$1,$B:$B,0)+ROW()-ROW($N$2))="Forecast", INDEX($F:$F, MATCH($M$1,$B:$B,0)+ROW()-ROW($N$2)), "")</f>
        <v>2450</v>
      </c>
      <c r="S38">
        <f t="shared" si="0"/>
        <v>442</v>
      </c>
    </row>
    <row r="39" spans="1:19" x14ac:dyDescent="0.3">
      <c r="A39" s="4">
        <v>43132</v>
      </c>
      <c r="B39" t="s">
        <v>12</v>
      </c>
      <c r="C39" t="s">
        <v>83</v>
      </c>
      <c r="D39">
        <v>2230</v>
      </c>
      <c r="E39">
        <v>2009</v>
      </c>
      <c r="F39">
        <v>2451</v>
      </c>
      <c r="N39" s="4" cm="1">
        <f t="array" ref="N39">INDEX($A:$A, MATCH($M$1,$B:$B,0)+ROW()-ROW($N$2))</f>
        <v>43132</v>
      </c>
      <c r="P39" cm="1">
        <f t="array" ref="P39">IF(INDEX($C:$C, MATCH($M$1,$B:$B,0)+ROW()-ROW($N$2))="Forecast", INDEX($D:$D, MATCH($M$1,$B:$B,0)+ROW()-ROW($N$2)), "")</f>
        <v>2230</v>
      </c>
      <c r="Q39" cm="1">
        <f t="array" ref="Q39">IF(INDEX($C:$C, MATCH($M$1,$B:$B,0)+ROW()-ROW($N$2))="Forecast", INDEX($E:$E, MATCH($M$1,$B:$B,0)+ROW()-ROW($N$2)), "")</f>
        <v>2009</v>
      </c>
      <c r="R39" cm="1">
        <f t="array" ref="R39">IF(INDEX($C:$C, MATCH($M$1,$B:$B,0)+ROW()-ROW($N$2))="Forecast", INDEX($F:$F, MATCH($M$1,$B:$B,0)+ROW()-ROW($N$2)), "")</f>
        <v>2451</v>
      </c>
      <c r="S39">
        <f t="shared" si="0"/>
        <v>442</v>
      </c>
    </row>
    <row r="40" spans="1:19" x14ac:dyDescent="0.3">
      <c r="A40" s="4">
        <v>43160</v>
      </c>
      <c r="B40" t="s">
        <v>12</v>
      </c>
      <c r="C40" t="s">
        <v>83</v>
      </c>
      <c r="D40">
        <v>2230</v>
      </c>
      <c r="E40">
        <v>2009</v>
      </c>
      <c r="F40">
        <v>2451</v>
      </c>
      <c r="N40" s="4" cm="1">
        <f t="array" ref="N40">INDEX($A:$A, MATCH($M$1,$B:$B,0)+ROW()-ROW($N$2))</f>
        <v>43160</v>
      </c>
      <c r="P40" cm="1">
        <f t="array" ref="P40">IF(INDEX($C:$C, MATCH($M$1,$B:$B,0)+ROW()-ROW($N$2))="Forecast", INDEX($D:$D, MATCH($M$1,$B:$B,0)+ROW()-ROW($N$2)), "")</f>
        <v>2230</v>
      </c>
      <c r="Q40" cm="1">
        <f t="array" ref="Q40">IF(INDEX($C:$C, MATCH($M$1,$B:$B,0)+ROW()-ROW($N$2))="Forecast", INDEX($E:$E, MATCH($M$1,$B:$B,0)+ROW()-ROW($N$2)), "")</f>
        <v>2009</v>
      </c>
      <c r="R40" cm="1">
        <f t="array" ref="R40">IF(INDEX($C:$C, MATCH($M$1,$B:$B,0)+ROW()-ROW($N$2))="Forecast", INDEX($F:$F, MATCH($M$1,$B:$B,0)+ROW()-ROW($N$2)), "")</f>
        <v>2451</v>
      </c>
      <c r="S40">
        <f t="shared" si="0"/>
        <v>442</v>
      </c>
    </row>
    <row r="41" spans="1:19" x14ac:dyDescent="0.3">
      <c r="A41" s="4">
        <v>42005</v>
      </c>
      <c r="B41" t="s">
        <v>25</v>
      </c>
      <c r="C41" t="s">
        <v>82</v>
      </c>
      <c r="D41">
        <v>620</v>
      </c>
    </row>
    <row r="42" spans="1:19" x14ac:dyDescent="0.3">
      <c r="A42" s="4">
        <v>42036</v>
      </c>
      <c r="B42" t="s">
        <v>25</v>
      </c>
      <c r="C42" t="s">
        <v>82</v>
      </c>
      <c r="D42">
        <v>642</v>
      </c>
    </row>
    <row r="43" spans="1:19" x14ac:dyDescent="0.3">
      <c r="A43" s="4">
        <v>42064</v>
      </c>
      <c r="B43" t="s">
        <v>25</v>
      </c>
      <c r="C43" t="s">
        <v>82</v>
      </c>
      <c r="D43">
        <v>618</v>
      </c>
    </row>
    <row r="44" spans="1:19" x14ac:dyDescent="0.3">
      <c r="A44" s="4">
        <v>42095</v>
      </c>
      <c r="B44" t="s">
        <v>25</v>
      </c>
      <c r="C44" t="s">
        <v>82</v>
      </c>
      <c r="D44">
        <v>653</v>
      </c>
    </row>
    <row r="45" spans="1:19" x14ac:dyDescent="0.3">
      <c r="A45" s="4">
        <v>42125</v>
      </c>
      <c r="B45" t="s">
        <v>25</v>
      </c>
      <c r="C45" t="s">
        <v>82</v>
      </c>
      <c r="D45">
        <v>644</v>
      </c>
    </row>
    <row r="46" spans="1:19" x14ac:dyDescent="0.3">
      <c r="A46" s="4">
        <v>42156</v>
      </c>
      <c r="B46" t="s">
        <v>25</v>
      </c>
      <c r="C46" t="s">
        <v>82</v>
      </c>
      <c r="D46">
        <v>666</v>
      </c>
    </row>
    <row r="47" spans="1:19" x14ac:dyDescent="0.3">
      <c r="A47" s="4">
        <v>42186</v>
      </c>
      <c r="B47" t="s">
        <v>25</v>
      </c>
      <c r="C47" t="s">
        <v>82</v>
      </c>
      <c r="D47">
        <v>664</v>
      </c>
    </row>
    <row r="48" spans="1:19" x14ac:dyDescent="0.3">
      <c r="A48" s="4">
        <v>42217</v>
      </c>
      <c r="B48" t="s">
        <v>25</v>
      </c>
      <c r="C48" t="s">
        <v>82</v>
      </c>
      <c r="D48">
        <v>688</v>
      </c>
    </row>
    <row r="49" spans="1:4" x14ac:dyDescent="0.3">
      <c r="A49" s="4">
        <v>42248</v>
      </c>
      <c r="B49" t="s">
        <v>25</v>
      </c>
      <c r="C49" t="s">
        <v>82</v>
      </c>
      <c r="D49">
        <v>678</v>
      </c>
    </row>
    <row r="50" spans="1:4" x14ac:dyDescent="0.3">
      <c r="A50" s="4">
        <v>42278</v>
      </c>
      <c r="B50" t="s">
        <v>25</v>
      </c>
      <c r="C50" t="s">
        <v>82</v>
      </c>
      <c r="D50">
        <v>677</v>
      </c>
    </row>
    <row r="51" spans="1:4" x14ac:dyDescent="0.3">
      <c r="A51" s="4">
        <v>42309</v>
      </c>
      <c r="B51" t="s">
        <v>25</v>
      </c>
      <c r="C51" t="s">
        <v>82</v>
      </c>
      <c r="D51">
        <v>661</v>
      </c>
    </row>
    <row r="52" spans="1:4" x14ac:dyDescent="0.3">
      <c r="A52" s="4">
        <v>42339</v>
      </c>
      <c r="B52" t="s">
        <v>25</v>
      </c>
      <c r="C52" t="s">
        <v>82</v>
      </c>
      <c r="D52">
        <v>721</v>
      </c>
    </row>
    <row r="53" spans="1:4" x14ac:dyDescent="0.3">
      <c r="A53" s="4">
        <v>42370</v>
      </c>
      <c r="B53" t="s">
        <v>25</v>
      </c>
      <c r="C53" t="s">
        <v>82</v>
      </c>
      <c r="D53">
        <v>683</v>
      </c>
    </row>
    <row r="54" spans="1:4" x14ac:dyDescent="0.3">
      <c r="A54" s="4">
        <v>42401</v>
      </c>
      <c r="B54" t="s">
        <v>25</v>
      </c>
      <c r="C54" t="s">
        <v>82</v>
      </c>
      <c r="D54">
        <v>635</v>
      </c>
    </row>
    <row r="55" spans="1:4" x14ac:dyDescent="0.3">
      <c r="A55" s="4">
        <v>42430</v>
      </c>
      <c r="B55" t="s">
        <v>25</v>
      </c>
      <c r="C55" t="s">
        <v>82</v>
      </c>
      <c r="D55">
        <v>675</v>
      </c>
    </row>
    <row r="56" spans="1:4" x14ac:dyDescent="0.3">
      <c r="A56" s="4">
        <v>42461</v>
      </c>
      <c r="B56" t="s">
        <v>25</v>
      </c>
      <c r="C56" t="s">
        <v>82</v>
      </c>
      <c r="D56">
        <v>683</v>
      </c>
    </row>
    <row r="57" spans="1:4" x14ac:dyDescent="0.3">
      <c r="A57" s="4">
        <v>42491</v>
      </c>
      <c r="B57" t="s">
        <v>25</v>
      </c>
      <c r="C57" t="s">
        <v>82</v>
      </c>
      <c r="D57">
        <v>677</v>
      </c>
    </row>
    <row r="58" spans="1:4" x14ac:dyDescent="0.3">
      <c r="A58" s="4">
        <v>42522</v>
      </c>
      <c r="B58" t="s">
        <v>25</v>
      </c>
      <c r="C58" t="s">
        <v>82</v>
      </c>
      <c r="D58">
        <v>672</v>
      </c>
    </row>
    <row r="59" spans="1:4" x14ac:dyDescent="0.3">
      <c r="A59" s="4">
        <v>42552</v>
      </c>
      <c r="B59" t="s">
        <v>25</v>
      </c>
      <c r="C59" t="s">
        <v>82</v>
      </c>
      <c r="D59">
        <v>687</v>
      </c>
    </row>
    <row r="60" spans="1:4" x14ac:dyDescent="0.3">
      <c r="A60" s="4">
        <v>42583</v>
      </c>
      <c r="B60" t="s">
        <v>25</v>
      </c>
      <c r="C60" t="s">
        <v>82</v>
      </c>
      <c r="D60">
        <v>725</v>
      </c>
    </row>
    <row r="61" spans="1:4" x14ac:dyDescent="0.3">
      <c r="A61" s="4">
        <v>42614</v>
      </c>
      <c r="B61" t="s">
        <v>25</v>
      </c>
      <c r="C61" t="s">
        <v>82</v>
      </c>
      <c r="D61">
        <v>684</v>
      </c>
    </row>
    <row r="62" spans="1:4" x14ac:dyDescent="0.3">
      <c r="A62" s="4">
        <v>42644</v>
      </c>
      <c r="B62" t="s">
        <v>25</v>
      </c>
      <c r="C62" t="s">
        <v>82</v>
      </c>
      <c r="D62">
        <v>725</v>
      </c>
    </row>
    <row r="63" spans="1:4" x14ac:dyDescent="0.3">
      <c r="A63" s="4">
        <v>42675</v>
      </c>
      <c r="B63" t="s">
        <v>25</v>
      </c>
      <c r="C63" t="s">
        <v>82</v>
      </c>
      <c r="D63">
        <v>656</v>
      </c>
    </row>
    <row r="64" spans="1:4" x14ac:dyDescent="0.3">
      <c r="A64" s="4">
        <v>42705</v>
      </c>
      <c r="B64" t="s">
        <v>25</v>
      </c>
      <c r="C64" t="s">
        <v>82</v>
      </c>
      <c r="D64">
        <v>686</v>
      </c>
    </row>
    <row r="65" spans="1:6" x14ac:dyDescent="0.3">
      <c r="A65" s="4">
        <v>42736</v>
      </c>
      <c r="B65" t="s">
        <v>25</v>
      </c>
      <c r="C65" t="s">
        <v>82</v>
      </c>
      <c r="D65">
        <v>663</v>
      </c>
    </row>
    <row r="66" spans="1:6" x14ac:dyDescent="0.3">
      <c r="A66" s="4">
        <v>42767</v>
      </c>
      <c r="B66" t="s">
        <v>25</v>
      </c>
      <c r="C66" t="s">
        <v>82</v>
      </c>
      <c r="D66">
        <v>579</v>
      </c>
    </row>
    <row r="67" spans="1:6" x14ac:dyDescent="0.3">
      <c r="A67" s="4">
        <v>42795</v>
      </c>
      <c r="B67" t="s">
        <v>25</v>
      </c>
      <c r="C67" t="s">
        <v>82</v>
      </c>
      <c r="D67">
        <v>726</v>
      </c>
    </row>
    <row r="68" spans="1:6" x14ac:dyDescent="0.3">
      <c r="A68" s="4">
        <v>42826</v>
      </c>
      <c r="B68" t="s">
        <v>25</v>
      </c>
      <c r="C68" t="s">
        <v>82</v>
      </c>
      <c r="D68">
        <v>664</v>
      </c>
    </row>
    <row r="69" spans="1:6" x14ac:dyDescent="0.3">
      <c r="A69" s="4">
        <v>42856</v>
      </c>
      <c r="B69" t="s">
        <v>25</v>
      </c>
      <c r="C69" t="s">
        <v>82</v>
      </c>
      <c r="D69">
        <v>740</v>
      </c>
    </row>
    <row r="70" spans="1:6" x14ac:dyDescent="0.3">
      <c r="A70" s="4">
        <v>42887</v>
      </c>
      <c r="B70" t="s">
        <v>25</v>
      </c>
      <c r="C70" t="s">
        <v>82</v>
      </c>
      <c r="D70">
        <v>675</v>
      </c>
    </row>
    <row r="71" spans="1:6" x14ac:dyDescent="0.3">
      <c r="A71" s="4">
        <v>42917</v>
      </c>
      <c r="B71" t="s">
        <v>25</v>
      </c>
      <c r="C71" t="s">
        <v>82</v>
      </c>
      <c r="D71">
        <v>707</v>
      </c>
    </row>
    <row r="72" spans="1:6" x14ac:dyDescent="0.3">
      <c r="A72" s="4">
        <v>42948</v>
      </c>
      <c r="B72" t="s">
        <v>25</v>
      </c>
      <c r="C72" t="s">
        <v>82</v>
      </c>
      <c r="D72">
        <v>678</v>
      </c>
    </row>
    <row r="73" spans="1:6" x14ac:dyDescent="0.3">
      <c r="A73" s="4">
        <v>42979</v>
      </c>
      <c r="B73" t="s">
        <v>25</v>
      </c>
      <c r="C73" t="s">
        <v>82</v>
      </c>
      <c r="D73">
        <v>662</v>
      </c>
    </row>
    <row r="74" spans="1:6" x14ac:dyDescent="0.3">
      <c r="A74" s="4">
        <v>43009</v>
      </c>
      <c r="B74" t="s">
        <v>25</v>
      </c>
      <c r="C74" t="s">
        <v>83</v>
      </c>
      <c r="D74">
        <v>686</v>
      </c>
      <c r="E74">
        <v>620</v>
      </c>
      <c r="F74">
        <v>752</v>
      </c>
    </row>
    <row r="75" spans="1:6" x14ac:dyDescent="0.3">
      <c r="A75" s="4">
        <v>43040</v>
      </c>
      <c r="B75" t="s">
        <v>25</v>
      </c>
      <c r="C75" t="s">
        <v>83</v>
      </c>
      <c r="D75">
        <v>679</v>
      </c>
      <c r="E75">
        <v>613</v>
      </c>
      <c r="F75">
        <v>745</v>
      </c>
    </row>
    <row r="76" spans="1:6" x14ac:dyDescent="0.3">
      <c r="A76" s="4">
        <v>43070</v>
      </c>
      <c r="B76" t="s">
        <v>25</v>
      </c>
      <c r="C76" t="s">
        <v>83</v>
      </c>
      <c r="D76">
        <v>681</v>
      </c>
      <c r="E76">
        <v>611</v>
      </c>
      <c r="F76">
        <v>751</v>
      </c>
    </row>
    <row r="77" spans="1:6" x14ac:dyDescent="0.3">
      <c r="A77" s="4">
        <v>43101</v>
      </c>
      <c r="B77" t="s">
        <v>25</v>
      </c>
      <c r="C77" t="s">
        <v>83</v>
      </c>
      <c r="D77">
        <v>680</v>
      </c>
      <c r="E77">
        <v>607</v>
      </c>
      <c r="F77">
        <v>753</v>
      </c>
    </row>
    <row r="78" spans="1:6" x14ac:dyDescent="0.3">
      <c r="A78" s="4">
        <v>43132</v>
      </c>
      <c r="B78" t="s">
        <v>25</v>
      </c>
      <c r="C78" t="s">
        <v>83</v>
      </c>
      <c r="D78">
        <v>681</v>
      </c>
      <c r="E78">
        <v>605</v>
      </c>
      <c r="F78">
        <v>756</v>
      </c>
    </row>
    <row r="79" spans="1:6" x14ac:dyDescent="0.3">
      <c r="A79" s="4">
        <v>43160</v>
      </c>
      <c r="B79" t="s">
        <v>25</v>
      </c>
      <c r="C79" t="s">
        <v>83</v>
      </c>
      <c r="D79">
        <v>681</v>
      </c>
      <c r="E79">
        <v>602</v>
      </c>
      <c r="F79">
        <v>759</v>
      </c>
    </row>
    <row r="80" spans="1:6" x14ac:dyDescent="0.3">
      <c r="A80" s="4">
        <v>42005</v>
      </c>
      <c r="B80" t="s">
        <v>30</v>
      </c>
      <c r="C80" t="s">
        <v>82</v>
      </c>
      <c r="D80">
        <v>1857</v>
      </c>
    </row>
    <row r="81" spans="1:4" x14ac:dyDescent="0.3">
      <c r="A81" s="4">
        <v>42036</v>
      </c>
      <c r="B81" t="s">
        <v>30</v>
      </c>
      <c r="C81" t="s">
        <v>82</v>
      </c>
      <c r="D81">
        <v>1807</v>
      </c>
    </row>
    <row r="82" spans="1:4" x14ac:dyDescent="0.3">
      <c r="A82" s="4">
        <v>42064</v>
      </c>
      <c r="B82" t="s">
        <v>30</v>
      </c>
      <c r="C82" t="s">
        <v>82</v>
      </c>
      <c r="D82">
        <v>2004</v>
      </c>
    </row>
    <row r="83" spans="1:4" x14ac:dyDescent="0.3">
      <c r="A83" s="4">
        <v>42095</v>
      </c>
      <c r="B83" t="s">
        <v>30</v>
      </c>
      <c r="C83" t="s">
        <v>82</v>
      </c>
      <c r="D83">
        <v>1938</v>
      </c>
    </row>
    <row r="84" spans="1:4" x14ac:dyDescent="0.3">
      <c r="A84" s="4">
        <v>42125</v>
      </c>
      <c r="B84" t="s">
        <v>30</v>
      </c>
      <c r="C84" t="s">
        <v>82</v>
      </c>
      <c r="D84">
        <v>1926</v>
      </c>
    </row>
    <row r="85" spans="1:4" x14ac:dyDescent="0.3">
      <c r="A85" s="4">
        <v>42156</v>
      </c>
      <c r="B85" t="s">
        <v>30</v>
      </c>
      <c r="C85" t="s">
        <v>82</v>
      </c>
      <c r="D85">
        <v>1742</v>
      </c>
    </row>
    <row r="86" spans="1:4" x14ac:dyDescent="0.3">
      <c r="A86" s="4">
        <v>42186</v>
      </c>
      <c r="B86" t="s">
        <v>30</v>
      </c>
      <c r="C86" t="s">
        <v>82</v>
      </c>
      <c r="D86">
        <v>2163</v>
      </c>
    </row>
    <row r="87" spans="1:4" x14ac:dyDescent="0.3">
      <c r="A87" s="4">
        <v>42217</v>
      </c>
      <c r="B87" t="s">
        <v>30</v>
      </c>
      <c r="C87" t="s">
        <v>82</v>
      </c>
      <c r="D87">
        <v>1920</v>
      </c>
    </row>
    <row r="88" spans="1:4" x14ac:dyDescent="0.3">
      <c r="A88" s="4">
        <v>42248</v>
      </c>
      <c r="B88" t="s">
        <v>30</v>
      </c>
      <c r="C88" t="s">
        <v>82</v>
      </c>
      <c r="D88">
        <v>1875</v>
      </c>
    </row>
    <row r="89" spans="1:4" x14ac:dyDescent="0.3">
      <c r="A89" s="4">
        <v>42278</v>
      </c>
      <c r="B89" t="s">
        <v>30</v>
      </c>
      <c r="C89" t="s">
        <v>82</v>
      </c>
      <c r="D89">
        <v>1962</v>
      </c>
    </row>
    <row r="90" spans="1:4" x14ac:dyDescent="0.3">
      <c r="A90" s="4">
        <v>42309</v>
      </c>
      <c r="B90" t="s">
        <v>30</v>
      </c>
      <c r="C90" t="s">
        <v>82</v>
      </c>
      <c r="D90">
        <v>1773</v>
      </c>
    </row>
    <row r="91" spans="1:4" x14ac:dyDescent="0.3">
      <c r="A91" s="4">
        <v>42339</v>
      </c>
      <c r="B91" t="s">
        <v>30</v>
      </c>
      <c r="C91" t="s">
        <v>82</v>
      </c>
      <c r="D91">
        <v>1873</v>
      </c>
    </row>
    <row r="92" spans="1:4" x14ac:dyDescent="0.3">
      <c r="A92" s="4">
        <v>42370</v>
      </c>
      <c r="B92" t="s">
        <v>30</v>
      </c>
      <c r="C92" t="s">
        <v>82</v>
      </c>
      <c r="D92">
        <v>2069</v>
      </c>
    </row>
    <row r="93" spans="1:4" x14ac:dyDescent="0.3">
      <c r="A93" s="4">
        <v>42401</v>
      </c>
      <c r="B93" t="s">
        <v>30</v>
      </c>
      <c r="C93" t="s">
        <v>82</v>
      </c>
      <c r="D93">
        <v>1715</v>
      </c>
    </row>
    <row r="94" spans="1:4" x14ac:dyDescent="0.3">
      <c r="A94" s="4">
        <v>42430</v>
      </c>
      <c r="B94" t="s">
        <v>30</v>
      </c>
      <c r="C94" t="s">
        <v>82</v>
      </c>
      <c r="D94">
        <v>1847</v>
      </c>
    </row>
    <row r="95" spans="1:4" x14ac:dyDescent="0.3">
      <c r="A95" s="4">
        <v>42461</v>
      </c>
      <c r="B95" t="s">
        <v>30</v>
      </c>
      <c r="C95" t="s">
        <v>82</v>
      </c>
      <c r="D95">
        <v>1797</v>
      </c>
    </row>
    <row r="96" spans="1:4" x14ac:dyDescent="0.3">
      <c r="A96" s="4">
        <v>42491</v>
      </c>
      <c r="B96" t="s">
        <v>30</v>
      </c>
      <c r="C96" t="s">
        <v>82</v>
      </c>
      <c r="D96">
        <v>1923</v>
      </c>
    </row>
    <row r="97" spans="1:4" x14ac:dyDescent="0.3">
      <c r="A97" s="4">
        <v>42522</v>
      </c>
      <c r="B97" t="s">
        <v>30</v>
      </c>
      <c r="C97" t="s">
        <v>82</v>
      </c>
      <c r="D97">
        <v>1881</v>
      </c>
    </row>
    <row r="98" spans="1:4" x14ac:dyDescent="0.3">
      <c r="A98" s="4">
        <v>42552</v>
      </c>
      <c r="B98" t="s">
        <v>30</v>
      </c>
      <c r="C98" t="s">
        <v>82</v>
      </c>
      <c r="D98">
        <v>1969</v>
      </c>
    </row>
    <row r="99" spans="1:4" x14ac:dyDescent="0.3">
      <c r="A99" s="4">
        <v>42583</v>
      </c>
      <c r="B99" t="s">
        <v>30</v>
      </c>
      <c r="C99" t="s">
        <v>82</v>
      </c>
      <c r="D99">
        <v>2082</v>
      </c>
    </row>
    <row r="100" spans="1:4" x14ac:dyDescent="0.3">
      <c r="A100" s="4">
        <v>42614</v>
      </c>
      <c r="B100" t="s">
        <v>30</v>
      </c>
      <c r="C100" t="s">
        <v>82</v>
      </c>
      <c r="D100">
        <v>1859</v>
      </c>
    </row>
    <row r="101" spans="1:4" x14ac:dyDescent="0.3">
      <c r="A101" s="4">
        <v>42644</v>
      </c>
      <c r="B101" t="s">
        <v>30</v>
      </c>
      <c r="C101" t="s">
        <v>82</v>
      </c>
      <c r="D101">
        <v>2011</v>
      </c>
    </row>
    <row r="102" spans="1:4" x14ac:dyDescent="0.3">
      <c r="A102" s="4">
        <v>42675</v>
      </c>
      <c r="B102" t="s">
        <v>30</v>
      </c>
      <c r="C102" t="s">
        <v>82</v>
      </c>
      <c r="D102">
        <v>1847</v>
      </c>
    </row>
    <row r="103" spans="1:4" x14ac:dyDescent="0.3">
      <c r="A103" s="4">
        <v>42705</v>
      </c>
      <c r="B103" t="s">
        <v>30</v>
      </c>
      <c r="C103" t="s">
        <v>82</v>
      </c>
      <c r="D103">
        <v>1859</v>
      </c>
    </row>
    <row r="104" spans="1:4" x14ac:dyDescent="0.3">
      <c r="A104" s="4">
        <v>42736</v>
      </c>
      <c r="B104" t="s">
        <v>30</v>
      </c>
      <c r="C104" t="s">
        <v>82</v>
      </c>
      <c r="D104">
        <v>1974</v>
      </c>
    </row>
    <row r="105" spans="1:4" x14ac:dyDescent="0.3">
      <c r="A105" s="4">
        <v>42767</v>
      </c>
      <c r="B105" t="s">
        <v>30</v>
      </c>
      <c r="C105" t="s">
        <v>82</v>
      </c>
      <c r="D105">
        <v>1956</v>
      </c>
    </row>
    <row r="106" spans="1:4" x14ac:dyDescent="0.3">
      <c r="A106" s="4">
        <v>42795</v>
      </c>
      <c r="B106" t="s">
        <v>30</v>
      </c>
      <c r="C106" t="s">
        <v>82</v>
      </c>
      <c r="D106">
        <v>2036</v>
      </c>
    </row>
    <row r="107" spans="1:4" x14ac:dyDescent="0.3">
      <c r="A107" s="4">
        <v>42826</v>
      </c>
      <c r="B107" t="s">
        <v>30</v>
      </c>
      <c r="C107" t="s">
        <v>82</v>
      </c>
      <c r="D107">
        <v>1702</v>
      </c>
    </row>
    <row r="108" spans="1:4" x14ac:dyDescent="0.3">
      <c r="A108" s="4">
        <v>42856</v>
      </c>
      <c r="B108" t="s">
        <v>30</v>
      </c>
      <c r="C108" t="s">
        <v>82</v>
      </c>
      <c r="D108">
        <v>1860</v>
      </c>
    </row>
    <row r="109" spans="1:4" x14ac:dyDescent="0.3">
      <c r="A109" s="4">
        <v>42887</v>
      </c>
      <c r="B109" t="s">
        <v>30</v>
      </c>
      <c r="C109" t="s">
        <v>82</v>
      </c>
      <c r="D109">
        <v>1889</v>
      </c>
    </row>
    <row r="110" spans="1:4" x14ac:dyDescent="0.3">
      <c r="A110" s="4">
        <v>42917</v>
      </c>
      <c r="B110" t="s">
        <v>30</v>
      </c>
      <c r="C110" t="s">
        <v>82</v>
      </c>
      <c r="D110">
        <v>1867</v>
      </c>
    </row>
    <row r="111" spans="1:4" x14ac:dyDescent="0.3">
      <c r="A111" s="4">
        <v>42948</v>
      </c>
      <c r="B111" t="s">
        <v>30</v>
      </c>
      <c r="C111" t="s">
        <v>82</v>
      </c>
      <c r="D111">
        <v>1926</v>
      </c>
    </row>
    <row r="112" spans="1:4" x14ac:dyDescent="0.3">
      <c r="A112" s="4">
        <v>42979</v>
      </c>
      <c r="B112" t="s">
        <v>30</v>
      </c>
      <c r="C112" t="s">
        <v>82</v>
      </c>
      <c r="D112">
        <v>1969</v>
      </c>
    </row>
    <row r="113" spans="1:6" x14ac:dyDescent="0.3">
      <c r="A113" s="4">
        <v>43009</v>
      </c>
      <c r="B113" t="s">
        <v>30</v>
      </c>
      <c r="C113" t="s">
        <v>83</v>
      </c>
      <c r="D113">
        <v>1891</v>
      </c>
      <c r="E113">
        <v>1690</v>
      </c>
      <c r="F113">
        <v>2092</v>
      </c>
    </row>
    <row r="114" spans="1:6" x14ac:dyDescent="0.3">
      <c r="A114" s="4">
        <v>43040</v>
      </c>
      <c r="B114" t="s">
        <v>30</v>
      </c>
      <c r="C114" t="s">
        <v>83</v>
      </c>
      <c r="D114">
        <v>1908</v>
      </c>
      <c r="E114">
        <v>1704</v>
      </c>
      <c r="F114">
        <v>2112</v>
      </c>
    </row>
    <row r="115" spans="1:6" x14ac:dyDescent="0.3">
      <c r="A115" s="4">
        <v>43070</v>
      </c>
      <c r="B115" t="s">
        <v>30</v>
      </c>
      <c r="C115" t="s">
        <v>83</v>
      </c>
      <c r="D115">
        <v>1904</v>
      </c>
      <c r="E115">
        <v>1700</v>
      </c>
      <c r="F115">
        <v>2109</v>
      </c>
    </row>
    <row r="116" spans="1:6" x14ac:dyDescent="0.3">
      <c r="A116" s="4">
        <v>43101</v>
      </c>
      <c r="B116" t="s">
        <v>30</v>
      </c>
      <c r="C116" t="s">
        <v>83</v>
      </c>
      <c r="D116">
        <v>1905</v>
      </c>
      <c r="E116">
        <v>1701</v>
      </c>
      <c r="F116">
        <v>2109</v>
      </c>
    </row>
    <row r="117" spans="1:6" x14ac:dyDescent="0.3">
      <c r="A117" s="4">
        <v>43132</v>
      </c>
      <c r="B117" t="s">
        <v>30</v>
      </c>
      <c r="C117" t="s">
        <v>83</v>
      </c>
      <c r="D117">
        <v>1905</v>
      </c>
      <c r="E117">
        <v>1700</v>
      </c>
      <c r="F117">
        <v>2109</v>
      </c>
    </row>
    <row r="118" spans="1:6" x14ac:dyDescent="0.3">
      <c r="A118" s="4">
        <v>43160</v>
      </c>
      <c r="B118" t="s">
        <v>30</v>
      </c>
      <c r="C118" t="s">
        <v>83</v>
      </c>
      <c r="D118">
        <v>1905</v>
      </c>
      <c r="E118">
        <v>1701</v>
      </c>
      <c r="F118">
        <v>2109</v>
      </c>
    </row>
  </sheetData>
  <mergeCells count="1">
    <mergeCell ref="H1:J1"/>
  </mergeCells>
  <dataValidations count="1">
    <dataValidation type="list" allowBlank="1" showInputMessage="1" showErrorMessage="1" sqref="M1" xr:uid="{4CD2A3FA-A7EA-40F6-8365-4EC10DFC0C3D}">
      <formula1>"Cleats,Men's Footwear,Women's Apparel"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6AA6F-75A4-4857-9A75-2BD927003522}">
  <sheetPr codeName="Sheet4"/>
  <dimension ref="A1:G854"/>
  <sheetViews>
    <sheetView workbookViewId="0">
      <selection activeCell="L6" sqref="L6"/>
    </sheetView>
  </sheetViews>
  <sheetFormatPr defaultRowHeight="14.4" x14ac:dyDescent="0.3"/>
  <cols>
    <col min="1" max="1" width="9.21875" style="3" bestFit="1" customWidth="1"/>
    <col min="2" max="2" width="20.33203125" bestFit="1" customWidth="1"/>
    <col min="3" max="3" width="14" bestFit="1" customWidth="1"/>
    <col min="4" max="4" width="16.6640625" bestFit="1" customWidth="1"/>
    <col min="5" max="5" width="12" bestFit="1" customWidth="1"/>
    <col min="6" max="6" width="12.88671875" bestFit="1" customWidth="1"/>
    <col min="7" max="7" width="18.33203125" bestFit="1" customWidth="1"/>
    <col min="10" max="10" width="12.21875" customWidth="1"/>
  </cols>
  <sheetData>
    <row r="1" spans="1:7" x14ac:dyDescent="0.3">
      <c r="A1" s="3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8">
        <v>42005</v>
      </c>
      <c r="B2" s="29" t="s">
        <v>7</v>
      </c>
      <c r="C2" s="29">
        <v>56</v>
      </c>
      <c r="D2" s="29">
        <v>3.5357142857142856</v>
      </c>
      <c r="E2" s="29">
        <v>42.857142857142854</v>
      </c>
      <c r="F2" s="29">
        <v>32</v>
      </c>
      <c r="G2" s="29">
        <v>57.142857142857139</v>
      </c>
    </row>
    <row r="3" spans="1:7" x14ac:dyDescent="0.3">
      <c r="A3" s="28">
        <v>42005</v>
      </c>
      <c r="B3" s="29" t="s">
        <v>8</v>
      </c>
      <c r="C3" s="29">
        <v>20</v>
      </c>
      <c r="D3" s="29">
        <v>3.9</v>
      </c>
      <c r="E3" s="29">
        <v>25</v>
      </c>
      <c r="F3" s="29">
        <v>15</v>
      </c>
      <c r="G3" s="29">
        <v>75</v>
      </c>
    </row>
    <row r="4" spans="1:7" x14ac:dyDescent="0.3">
      <c r="A4" s="28">
        <v>42005</v>
      </c>
      <c r="B4" s="29" t="s">
        <v>9</v>
      </c>
      <c r="C4" s="29">
        <v>8</v>
      </c>
      <c r="D4" s="29">
        <v>4.5</v>
      </c>
      <c r="E4" s="29">
        <v>12.5</v>
      </c>
      <c r="F4" s="29">
        <v>7</v>
      </c>
      <c r="G4" s="29">
        <v>87.5</v>
      </c>
    </row>
    <row r="5" spans="1:7" x14ac:dyDescent="0.3">
      <c r="A5" s="26">
        <v>42005</v>
      </c>
      <c r="B5" s="27" t="s">
        <v>10</v>
      </c>
      <c r="C5" s="27">
        <v>415</v>
      </c>
      <c r="D5" s="27">
        <v>3.4361445783132529</v>
      </c>
      <c r="E5" s="27">
        <v>48.674698795180724</v>
      </c>
      <c r="F5" s="27">
        <v>213</v>
      </c>
      <c r="G5" s="27">
        <v>51.325301204819276</v>
      </c>
    </row>
    <row r="6" spans="1:7" x14ac:dyDescent="0.3">
      <c r="A6" s="28">
        <v>42005</v>
      </c>
      <c r="B6" s="29" t="s">
        <v>11</v>
      </c>
      <c r="C6" s="29">
        <v>417</v>
      </c>
      <c r="D6" s="29">
        <v>3.6354916067146283</v>
      </c>
      <c r="E6" s="29">
        <v>42.446043165467628</v>
      </c>
      <c r="F6" s="29">
        <v>240</v>
      </c>
      <c r="G6" s="29">
        <v>57.553956834532372</v>
      </c>
    </row>
    <row r="7" spans="1:7" x14ac:dyDescent="0.3">
      <c r="A7" s="26">
        <v>42005</v>
      </c>
      <c r="B7" s="27" t="s">
        <v>12</v>
      </c>
      <c r="C7" s="27">
        <v>802</v>
      </c>
      <c r="D7" s="27">
        <v>3.5785536159600997</v>
      </c>
      <c r="E7" s="27">
        <v>45.885286783042396</v>
      </c>
      <c r="F7" s="27">
        <v>434</v>
      </c>
      <c r="G7" s="27">
        <v>54.114713216957611</v>
      </c>
    </row>
    <row r="8" spans="1:7" x14ac:dyDescent="0.3">
      <c r="A8" s="26">
        <v>42005</v>
      </c>
      <c r="B8" s="27" t="s">
        <v>13</v>
      </c>
      <c r="C8" s="27">
        <v>126</v>
      </c>
      <c r="D8" s="27">
        <v>3.5476190476190474</v>
      </c>
      <c r="E8" s="27">
        <v>51.587301587301596</v>
      </c>
      <c r="F8" s="27">
        <v>61</v>
      </c>
      <c r="G8" s="27">
        <v>48.412698412698411</v>
      </c>
    </row>
    <row r="9" spans="1:7" x14ac:dyDescent="0.3">
      <c r="A9" s="26">
        <v>42005</v>
      </c>
      <c r="B9" s="27" t="s">
        <v>14</v>
      </c>
      <c r="C9" s="27">
        <v>542</v>
      </c>
      <c r="D9" s="27">
        <v>3.4889298892988929</v>
      </c>
      <c r="E9" s="27">
        <v>46.494464944649444</v>
      </c>
      <c r="F9" s="27">
        <v>290</v>
      </c>
      <c r="G9" s="27">
        <v>53.505535055350549</v>
      </c>
    </row>
    <row r="10" spans="1:7" x14ac:dyDescent="0.3">
      <c r="A10" s="26">
        <v>42005</v>
      </c>
      <c r="B10" s="27" t="s">
        <v>15</v>
      </c>
      <c r="C10" s="27">
        <v>13</v>
      </c>
      <c r="D10" s="27">
        <v>2.5384615384615383</v>
      </c>
      <c r="E10" s="27">
        <v>61.53846153846154</v>
      </c>
      <c r="F10" s="27">
        <v>5</v>
      </c>
      <c r="G10" s="27">
        <v>38.461538461538467</v>
      </c>
    </row>
    <row r="11" spans="1:7" x14ac:dyDescent="0.3">
      <c r="A11" s="26">
        <v>42005</v>
      </c>
      <c r="B11" s="27" t="s">
        <v>16</v>
      </c>
      <c r="C11" s="27">
        <v>38</v>
      </c>
      <c r="D11" s="27">
        <v>3.4473684210526314</v>
      </c>
      <c r="E11" s="27">
        <v>50</v>
      </c>
      <c r="F11" s="27">
        <v>19</v>
      </c>
      <c r="G11" s="27">
        <v>50</v>
      </c>
    </row>
    <row r="12" spans="1:7" x14ac:dyDescent="0.3">
      <c r="A12" s="28">
        <v>42005</v>
      </c>
      <c r="B12" s="29" t="s">
        <v>17</v>
      </c>
      <c r="C12" s="29">
        <v>9</v>
      </c>
      <c r="D12" s="29">
        <v>4.1111111111111107</v>
      </c>
      <c r="E12" s="29">
        <v>44.444444444444443</v>
      </c>
      <c r="F12" s="29">
        <v>5</v>
      </c>
      <c r="G12" s="29">
        <v>55.555555555555557</v>
      </c>
    </row>
    <row r="13" spans="1:7" x14ac:dyDescent="0.3">
      <c r="A13" s="26">
        <v>42005</v>
      </c>
      <c r="B13" s="27" t="s">
        <v>18</v>
      </c>
      <c r="C13" s="27">
        <v>52</v>
      </c>
      <c r="D13" s="27">
        <v>3.4615384615384617</v>
      </c>
      <c r="E13" s="27">
        <v>46.153846153846153</v>
      </c>
      <c r="F13" s="27">
        <v>28</v>
      </c>
      <c r="G13" s="27">
        <v>53.846153846153847</v>
      </c>
    </row>
    <row r="14" spans="1:7" x14ac:dyDescent="0.3">
      <c r="A14" s="26">
        <v>42005</v>
      </c>
      <c r="B14" s="27" t="s">
        <v>19</v>
      </c>
      <c r="C14" s="27">
        <v>29</v>
      </c>
      <c r="D14" s="27">
        <v>3.3793103448275863</v>
      </c>
      <c r="E14" s="27">
        <v>48.275862068965516</v>
      </c>
      <c r="F14" s="27">
        <v>15</v>
      </c>
      <c r="G14" s="27">
        <v>51.724137931034484</v>
      </c>
    </row>
    <row r="15" spans="1:7" x14ac:dyDescent="0.3">
      <c r="A15" s="28">
        <v>42005</v>
      </c>
      <c r="B15" s="29" t="s">
        <v>20</v>
      </c>
      <c r="C15" s="29">
        <v>16</v>
      </c>
      <c r="D15" s="29">
        <v>3.375</v>
      </c>
      <c r="E15" s="29">
        <v>43.75</v>
      </c>
      <c r="F15" s="29">
        <v>9</v>
      </c>
      <c r="G15" s="29">
        <v>56.25</v>
      </c>
    </row>
    <row r="16" spans="1:7" x14ac:dyDescent="0.3">
      <c r="A16" s="26">
        <v>42005</v>
      </c>
      <c r="B16" s="27" t="s">
        <v>21</v>
      </c>
      <c r="C16" s="27">
        <v>26</v>
      </c>
      <c r="D16" s="27">
        <v>3.6538461538461537</v>
      </c>
      <c r="E16" s="27">
        <v>57.692307692307686</v>
      </c>
      <c r="F16" s="27">
        <v>11</v>
      </c>
      <c r="G16" s="27">
        <v>42.307692307692307</v>
      </c>
    </row>
    <row r="17" spans="1:7" x14ac:dyDescent="0.3">
      <c r="A17" s="28">
        <v>42005</v>
      </c>
      <c r="B17" s="29" t="s">
        <v>22</v>
      </c>
      <c r="C17" s="29">
        <v>17</v>
      </c>
      <c r="D17" s="29">
        <v>3.5882352941176472</v>
      </c>
      <c r="E17" s="29">
        <v>41.17647058823529</v>
      </c>
      <c r="F17" s="29">
        <v>10</v>
      </c>
      <c r="G17" s="29">
        <v>58.82352941176471</v>
      </c>
    </row>
    <row r="18" spans="1:7" x14ac:dyDescent="0.3">
      <c r="A18" s="28">
        <v>42005</v>
      </c>
      <c r="B18" s="29" t="s">
        <v>23</v>
      </c>
      <c r="C18" s="29">
        <v>606</v>
      </c>
      <c r="D18" s="29">
        <v>3.6270627062706269</v>
      </c>
      <c r="E18" s="29">
        <v>44.38943894389439</v>
      </c>
      <c r="F18" s="29">
        <v>337</v>
      </c>
      <c r="G18" s="29">
        <v>55.61056105610561</v>
      </c>
    </row>
    <row r="19" spans="1:7" x14ac:dyDescent="0.3">
      <c r="A19" s="26">
        <v>42005</v>
      </c>
      <c r="B19" s="27" t="s">
        <v>24</v>
      </c>
      <c r="C19" s="27">
        <v>10</v>
      </c>
      <c r="D19" s="27">
        <v>3.7</v>
      </c>
      <c r="E19" s="27">
        <v>70</v>
      </c>
      <c r="F19" s="27">
        <v>3</v>
      </c>
      <c r="G19" s="27">
        <v>30</v>
      </c>
    </row>
    <row r="20" spans="1:7" x14ac:dyDescent="0.3">
      <c r="A20" s="26">
        <v>42005</v>
      </c>
      <c r="B20" s="27" t="s">
        <v>25</v>
      </c>
      <c r="C20" s="27">
        <v>620</v>
      </c>
      <c r="D20" s="27">
        <v>3.4870967741935486</v>
      </c>
      <c r="E20" s="27">
        <v>51.935483870967744</v>
      </c>
      <c r="F20" s="27">
        <v>298</v>
      </c>
      <c r="G20" s="27">
        <v>48.064516129032256</v>
      </c>
    </row>
    <row r="21" spans="1:7" x14ac:dyDescent="0.3">
      <c r="A21" s="26">
        <v>42005</v>
      </c>
      <c r="B21" s="27" t="s">
        <v>26</v>
      </c>
      <c r="C21" s="27">
        <v>348</v>
      </c>
      <c r="D21" s="27">
        <v>3.3132183908045976</v>
      </c>
      <c r="E21" s="27">
        <v>47.126436781609193</v>
      </c>
      <c r="F21" s="27">
        <v>184</v>
      </c>
      <c r="G21" s="27">
        <v>52.873563218390807</v>
      </c>
    </row>
    <row r="22" spans="1:7" x14ac:dyDescent="0.3">
      <c r="A22" s="28">
        <v>42005</v>
      </c>
      <c r="B22" s="29" t="s">
        <v>27</v>
      </c>
      <c r="C22" s="29">
        <v>16</v>
      </c>
      <c r="D22" s="29">
        <v>3.125</v>
      </c>
      <c r="E22" s="29">
        <v>31.25</v>
      </c>
      <c r="F22" s="29">
        <v>11</v>
      </c>
      <c r="G22" s="29">
        <v>68.75</v>
      </c>
    </row>
    <row r="23" spans="1:7" x14ac:dyDescent="0.3">
      <c r="A23" s="28">
        <v>42005</v>
      </c>
      <c r="B23" s="29" t="s">
        <v>28</v>
      </c>
      <c r="C23" s="29">
        <v>38</v>
      </c>
      <c r="D23" s="29">
        <v>3.5526315789473686</v>
      </c>
      <c r="E23" s="29">
        <v>42.105263157894733</v>
      </c>
      <c r="F23" s="29">
        <v>22</v>
      </c>
      <c r="G23" s="29">
        <v>57.894736842105267</v>
      </c>
    </row>
    <row r="24" spans="1:7" x14ac:dyDescent="0.3">
      <c r="A24" s="28">
        <v>42005</v>
      </c>
      <c r="B24" s="29" t="s">
        <v>29</v>
      </c>
      <c r="C24" s="29">
        <v>471</v>
      </c>
      <c r="D24" s="29">
        <v>3.5010615711252653</v>
      </c>
      <c r="E24" s="29">
        <v>43.949044585987259</v>
      </c>
      <c r="F24" s="29">
        <v>264</v>
      </c>
      <c r="G24" s="29">
        <v>56.050955414012741</v>
      </c>
    </row>
    <row r="25" spans="1:7" x14ac:dyDescent="0.3">
      <c r="A25" s="26">
        <v>42005</v>
      </c>
      <c r="B25" s="27" t="s">
        <v>30</v>
      </c>
      <c r="C25" s="27">
        <v>627</v>
      </c>
      <c r="D25" s="27">
        <v>3.5534290271132378</v>
      </c>
      <c r="E25" s="27">
        <v>45.933014354066984</v>
      </c>
      <c r="F25" s="27">
        <v>339</v>
      </c>
      <c r="G25" s="27">
        <v>54.066985645933016</v>
      </c>
    </row>
    <row r="26" spans="1:7" x14ac:dyDescent="0.3">
      <c r="A26" s="28">
        <v>42036</v>
      </c>
      <c r="B26" s="29" t="s">
        <v>7</v>
      </c>
      <c r="C26" s="29">
        <v>52</v>
      </c>
      <c r="D26" s="29">
        <v>3.3269230769230771</v>
      </c>
      <c r="E26" s="29">
        <v>44.230769230769226</v>
      </c>
      <c r="F26" s="29">
        <v>29</v>
      </c>
      <c r="G26" s="29">
        <v>55.769230769230774</v>
      </c>
    </row>
    <row r="27" spans="1:7" x14ac:dyDescent="0.3">
      <c r="A27" s="28">
        <v>42036</v>
      </c>
      <c r="B27" s="29" t="s">
        <v>8</v>
      </c>
      <c r="C27" s="29">
        <v>18</v>
      </c>
      <c r="D27" s="29">
        <v>3.7777777777777777</v>
      </c>
      <c r="E27" s="29">
        <v>33.333333333333329</v>
      </c>
      <c r="F27" s="29">
        <v>12</v>
      </c>
      <c r="G27" s="29">
        <v>66.666666666666657</v>
      </c>
    </row>
    <row r="28" spans="1:7" x14ac:dyDescent="0.3">
      <c r="A28" s="26">
        <v>42036</v>
      </c>
      <c r="B28" s="27" t="s">
        <v>9</v>
      </c>
      <c r="C28" s="27">
        <v>4</v>
      </c>
      <c r="D28" s="27">
        <v>2.75</v>
      </c>
      <c r="E28" s="27">
        <v>50</v>
      </c>
      <c r="F28" s="27">
        <v>2</v>
      </c>
      <c r="G28" s="27">
        <v>50</v>
      </c>
    </row>
    <row r="29" spans="1:7" x14ac:dyDescent="0.3">
      <c r="A29" s="26">
        <v>42036</v>
      </c>
      <c r="B29" s="27" t="s">
        <v>10</v>
      </c>
      <c r="C29" s="27">
        <v>392</v>
      </c>
      <c r="D29" s="27">
        <v>3.4260204081632653</v>
      </c>
      <c r="E29" s="27">
        <v>45.91836734693878</v>
      </c>
      <c r="F29" s="27">
        <v>212</v>
      </c>
      <c r="G29" s="27">
        <v>54.081632653061227</v>
      </c>
    </row>
    <row r="30" spans="1:7" x14ac:dyDescent="0.3">
      <c r="A30" s="28">
        <v>42036</v>
      </c>
      <c r="B30" s="29" t="s">
        <v>11</v>
      </c>
      <c r="C30" s="29">
        <v>323</v>
      </c>
      <c r="D30" s="29">
        <v>3.4396284829721364</v>
      </c>
      <c r="E30" s="29">
        <v>44.582043343653247</v>
      </c>
      <c r="F30" s="29">
        <v>179</v>
      </c>
      <c r="G30" s="29">
        <v>55.417956656346746</v>
      </c>
    </row>
    <row r="31" spans="1:7" x14ac:dyDescent="0.3">
      <c r="A31" s="26">
        <v>42036</v>
      </c>
      <c r="B31" s="27" t="s">
        <v>12</v>
      </c>
      <c r="C31" s="27">
        <v>660</v>
      </c>
      <c r="D31" s="27">
        <v>3.4272727272727272</v>
      </c>
      <c r="E31" s="27">
        <v>45.909090909090914</v>
      </c>
      <c r="F31" s="27">
        <v>357</v>
      </c>
      <c r="G31" s="27">
        <v>54.090909090909086</v>
      </c>
    </row>
    <row r="32" spans="1:7" x14ac:dyDescent="0.3">
      <c r="A32" s="26">
        <v>42036</v>
      </c>
      <c r="B32" s="27" t="s">
        <v>13</v>
      </c>
      <c r="C32" s="27">
        <v>108</v>
      </c>
      <c r="D32" s="27">
        <v>3.4722222222222223</v>
      </c>
      <c r="E32" s="27">
        <v>46.296296296296298</v>
      </c>
      <c r="F32" s="27">
        <v>58</v>
      </c>
      <c r="G32" s="27">
        <v>53.703703703703709</v>
      </c>
    </row>
    <row r="33" spans="1:7" x14ac:dyDescent="0.3">
      <c r="A33" s="26">
        <v>42036</v>
      </c>
      <c r="B33" s="27" t="s">
        <v>14</v>
      </c>
      <c r="C33" s="27">
        <v>442</v>
      </c>
      <c r="D33" s="27">
        <v>3.3981900452488687</v>
      </c>
      <c r="E33" s="27">
        <v>47.963800904977376</v>
      </c>
      <c r="F33" s="27">
        <v>230</v>
      </c>
      <c r="G33" s="27">
        <v>52.036199095022631</v>
      </c>
    </row>
    <row r="34" spans="1:7" x14ac:dyDescent="0.3">
      <c r="A34" s="26">
        <v>42036</v>
      </c>
      <c r="B34" s="27" t="s">
        <v>15</v>
      </c>
      <c r="C34" s="27">
        <v>7</v>
      </c>
      <c r="D34" s="27">
        <v>4.4285714285714288</v>
      </c>
      <c r="E34" s="27">
        <v>57.142857142857139</v>
      </c>
      <c r="F34" s="27">
        <v>3</v>
      </c>
      <c r="G34" s="27">
        <v>42.857142857142854</v>
      </c>
    </row>
    <row r="35" spans="1:7" x14ac:dyDescent="0.3">
      <c r="A35" s="28">
        <v>42036</v>
      </c>
      <c r="B35" s="29" t="s">
        <v>16</v>
      </c>
      <c r="C35" s="29">
        <v>51</v>
      </c>
      <c r="D35" s="29">
        <v>3.7254901960784315</v>
      </c>
      <c r="E35" s="29">
        <v>39.215686274509807</v>
      </c>
      <c r="F35" s="29">
        <v>31</v>
      </c>
      <c r="G35" s="29">
        <v>60.784313725490193</v>
      </c>
    </row>
    <row r="36" spans="1:7" x14ac:dyDescent="0.3">
      <c r="A36" s="26">
        <v>42036</v>
      </c>
      <c r="B36" s="27" t="s">
        <v>17</v>
      </c>
      <c r="C36" s="27">
        <v>11</v>
      </c>
      <c r="D36" s="27">
        <v>3.2727272727272729</v>
      </c>
      <c r="E36" s="27">
        <v>45.454545454545453</v>
      </c>
      <c r="F36" s="27">
        <v>6</v>
      </c>
      <c r="G36" s="27">
        <v>54.54545454545454</v>
      </c>
    </row>
    <row r="37" spans="1:7" x14ac:dyDescent="0.3">
      <c r="A37" s="26">
        <v>42036</v>
      </c>
      <c r="B37" s="27" t="s">
        <v>18</v>
      </c>
      <c r="C37" s="27">
        <v>45</v>
      </c>
      <c r="D37" s="27">
        <v>3.2444444444444445</v>
      </c>
      <c r="E37" s="27">
        <v>48.888888888888886</v>
      </c>
      <c r="F37" s="27">
        <v>23</v>
      </c>
      <c r="G37" s="27">
        <v>51.111111111111107</v>
      </c>
    </row>
    <row r="38" spans="1:7" x14ac:dyDescent="0.3">
      <c r="A38" s="26">
        <v>42036</v>
      </c>
      <c r="B38" s="27" t="s">
        <v>19</v>
      </c>
      <c r="C38" s="27">
        <v>25</v>
      </c>
      <c r="D38" s="27">
        <v>3.48</v>
      </c>
      <c r="E38" s="27">
        <v>52</v>
      </c>
      <c r="F38" s="27">
        <v>12</v>
      </c>
      <c r="G38" s="27">
        <v>48</v>
      </c>
    </row>
    <row r="39" spans="1:7" x14ac:dyDescent="0.3">
      <c r="A39" s="28">
        <v>42036</v>
      </c>
      <c r="B39" s="29" t="s">
        <v>20</v>
      </c>
      <c r="C39" s="29">
        <v>15</v>
      </c>
      <c r="D39" s="29">
        <v>4.0666666666666664</v>
      </c>
      <c r="E39" s="29">
        <v>26.666666666666668</v>
      </c>
      <c r="F39" s="29">
        <v>11</v>
      </c>
      <c r="G39" s="29">
        <v>73.333333333333329</v>
      </c>
    </row>
    <row r="40" spans="1:7" x14ac:dyDescent="0.3">
      <c r="A40" s="26">
        <v>42036</v>
      </c>
      <c r="B40" s="27" t="s">
        <v>21</v>
      </c>
      <c r="C40" s="27">
        <v>22</v>
      </c>
      <c r="D40" s="27">
        <v>2.8181818181818183</v>
      </c>
      <c r="E40" s="27">
        <v>50</v>
      </c>
      <c r="F40" s="27">
        <v>11</v>
      </c>
      <c r="G40" s="27">
        <v>50</v>
      </c>
    </row>
    <row r="41" spans="1:7" x14ac:dyDescent="0.3">
      <c r="A41" s="26">
        <v>42036</v>
      </c>
      <c r="B41" s="27" t="s">
        <v>22</v>
      </c>
      <c r="C41" s="27">
        <v>14</v>
      </c>
      <c r="D41" s="27">
        <v>2.1428571428571428</v>
      </c>
      <c r="E41" s="27">
        <v>64.285714285714292</v>
      </c>
      <c r="F41" s="27">
        <v>5</v>
      </c>
      <c r="G41" s="27">
        <v>35.714285714285715</v>
      </c>
    </row>
    <row r="42" spans="1:7" x14ac:dyDescent="0.3">
      <c r="A42" s="26">
        <v>42036</v>
      </c>
      <c r="B42" s="27" t="s">
        <v>23</v>
      </c>
      <c r="C42" s="27">
        <v>520</v>
      </c>
      <c r="D42" s="27">
        <v>3.4865384615384616</v>
      </c>
      <c r="E42" s="27">
        <v>46.346153846153847</v>
      </c>
      <c r="F42" s="27">
        <v>279</v>
      </c>
      <c r="G42" s="27">
        <v>53.653846153846153</v>
      </c>
    </row>
    <row r="43" spans="1:7" x14ac:dyDescent="0.3">
      <c r="A43" s="28">
        <v>42036</v>
      </c>
      <c r="B43" s="29" t="s">
        <v>24</v>
      </c>
      <c r="C43" s="29">
        <v>8</v>
      </c>
      <c r="D43" s="29">
        <v>3.875</v>
      </c>
      <c r="E43" s="29">
        <v>25</v>
      </c>
      <c r="F43" s="29">
        <v>6</v>
      </c>
      <c r="G43" s="29">
        <v>75</v>
      </c>
    </row>
    <row r="44" spans="1:7" x14ac:dyDescent="0.3">
      <c r="A44" s="28">
        <v>42036</v>
      </c>
      <c r="B44" s="29" t="s">
        <v>25</v>
      </c>
      <c r="C44" s="29">
        <v>642</v>
      </c>
      <c r="D44" s="29">
        <v>3.5015576323987538</v>
      </c>
      <c r="E44" s="29">
        <v>43.613707165109034</v>
      </c>
      <c r="F44" s="29">
        <v>362</v>
      </c>
      <c r="G44" s="29">
        <v>56.386292834890959</v>
      </c>
    </row>
    <row r="45" spans="1:7" x14ac:dyDescent="0.3">
      <c r="A45" s="28">
        <v>42036</v>
      </c>
      <c r="B45" s="29" t="s">
        <v>26</v>
      </c>
      <c r="C45" s="29">
        <v>315</v>
      </c>
      <c r="D45" s="29">
        <v>3.4476190476190478</v>
      </c>
      <c r="E45" s="29">
        <v>43.80952380952381</v>
      </c>
      <c r="F45" s="29">
        <v>177</v>
      </c>
      <c r="G45" s="29">
        <v>56.19047619047619</v>
      </c>
    </row>
    <row r="46" spans="1:7" x14ac:dyDescent="0.3">
      <c r="A46" s="28">
        <v>42036</v>
      </c>
      <c r="B46" s="29" t="s">
        <v>27</v>
      </c>
      <c r="C46" s="29">
        <v>9</v>
      </c>
      <c r="D46" s="29">
        <v>4.333333333333333</v>
      </c>
      <c r="E46" s="29">
        <v>11.111111111111111</v>
      </c>
      <c r="F46" s="29">
        <v>8</v>
      </c>
      <c r="G46" s="29">
        <v>88.888888888888886</v>
      </c>
    </row>
    <row r="47" spans="1:7" x14ac:dyDescent="0.3">
      <c r="A47" s="28">
        <v>42036</v>
      </c>
      <c r="B47" s="29" t="s">
        <v>28</v>
      </c>
      <c r="C47" s="29">
        <v>27</v>
      </c>
      <c r="D47" s="29">
        <v>3.7777777777777777</v>
      </c>
      <c r="E47" s="29">
        <v>33.333333333333329</v>
      </c>
      <c r="F47" s="29">
        <v>18</v>
      </c>
      <c r="G47" s="29">
        <v>66.666666666666657</v>
      </c>
    </row>
    <row r="48" spans="1:7" x14ac:dyDescent="0.3">
      <c r="A48" s="28">
        <v>42036</v>
      </c>
      <c r="B48" s="29" t="s">
        <v>29</v>
      </c>
      <c r="C48" s="29">
        <v>433</v>
      </c>
      <c r="D48" s="29">
        <v>3.579676674364896</v>
      </c>
      <c r="E48" s="29">
        <v>41.801385681293304</v>
      </c>
      <c r="F48" s="29">
        <v>252</v>
      </c>
      <c r="G48" s="29">
        <v>58.198614318706696</v>
      </c>
    </row>
    <row r="49" spans="1:7" x14ac:dyDescent="0.3">
      <c r="A49" s="26">
        <v>42036</v>
      </c>
      <c r="B49" s="27" t="s">
        <v>30</v>
      </c>
      <c r="C49" s="27">
        <v>586</v>
      </c>
      <c r="D49" s="27">
        <v>3.4795221843003414</v>
      </c>
      <c r="E49" s="27">
        <v>47.610921501706486</v>
      </c>
      <c r="F49" s="27">
        <v>307</v>
      </c>
      <c r="G49" s="27">
        <v>52.389078498293514</v>
      </c>
    </row>
    <row r="50" spans="1:7" x14ac:dyDescent="0.3">
      <c r="A50" s="28">
        <v>42064</v>
      </c>
      <c r="B50" s="29" t="s">
        <v>7</v>
      </c>
      <c r="C50" s="29">
        <v>66</v>
      </c>
      <c r="D50" s="29">
        <v>3.4393939393939394</v>
      </c>
      <c r="E50" s="29">
        <v>36.363636363636367</v>
      </c>
      <c r="F50" s="29">
        <v>42</v>
      </c>
      <c r="G50" s="29">
        <v>63.636363636363633</v>
      </c>
    </row>
    <row r="51" spans="1:7" x14ac:dyDescent="0.3">
      <c r="A51" s="26">
        <v>42064</v>
      </c>
      <c r="B51" s="27" t="s">
        <v>8</v>
      </c>
      <c r="C51" s="27">
        <v>19</v>
      </c>
      <c r="D51" s="27">
        <v>3.5789473684210527</v>
      </c>
      <c r="E51" s="27">
        <v>47.368421052631575</v>
      </c>
      <c r="F51" s="27">
        <v>10</v>
      </c>
      <c r="G51" s="27">
        <v>52.631578947368418</v>
      </c>
    </row>
    <row r="52" spans="1:7" x14ac:dyDescent="0.3">
      <c r="A52" s="28">
        <v>42064</v>
      </c>
      <c r="B52" s="29" t="s">
        <v>9</v>
      </c>
      <c r="C52" s="29">
        <v>13</v>
      </c>
      <c r="D52" s="29">
        <v>3.4615384615384617</v>
      </c>
      <c r="E52" s="29">
        <v>23.076923076923077</v>
      </c>
      <c r="F52" s="29">
        <v>10</v>
      </c>
      <c r="G52" s="29">
        <v>76.923076923076934</v>
      </c>
    </row>
    <row r="53" spans="1:7" x14ac:dyDescent="0.3">
      <c r="A53" s="28">
        <v>42064</v>
      </c>
      <c r="B53" s="29" t="s">
        <v>10</v>
      </c>
      <c r="C53" s="29">
        <v>405</v>
      </c>
      <c r="D53" s="29">
        <v>3.4864197530864196</v>
      </c>
      <c r="E53" s="29">
        <v>43.456790123456791</v>
      </c>
      <c r="F53" s="29">
        <v>229</v>
      </c>
      <c r="G53" s="29">
        <v>56.543209876543209</v>
      </c>
    </row>
    <row r="54" spans="1:7" x14ac:dyDescent="0.3">
      <c r="A54" s="28">
        <v>42064</v>
      </c>
      <c r="B54" s="29" t="s">
        <v>11</v>
      </c>
      <c r="C54" s="29">
        <v>396</v>
      </c>
      <c r="D54" s="29">
        <v>3.4065656565656566</v>
      </c>
      <c r="E54" s="29">
        <v>43.686868686868685</v>
      </c>
      <c r="F54" s="29">
        <v>223</v>
      </c>
      <c r="G54" s="29">
        <v>56.313131313131315</v>
      </c>
    </row>
    <row r="55" spans="1:7" x14ac:dyDescent="0.3">
      <c r="A55" s="28">
        <v>42064</v>
      </c>
      <c r="B55" s="29" t="s">
        <v>12</v>
      </c>
      <c r="C55" s="29">
        <v>773</v>
      </c>
      <c r="D55" s="29">
        <v>3.5097024579560157</v>
      </c>
      <c r="E55" s="29">
        <v>43.725743855109961</v>
      </c>
      <c r="F55" s="29">
        <v>435</v>
      </c>
      <c r="G55" s="29">
        <v>56.274256144890032</v>
      </c>
    </row>
    <row r="56" spans="1:7" x14ac:dyDescent="0.3">
      <c r="A56" s="28">
        <v>42064</v>
      </c>
      <c r="B56" s="29" t="s">
        <v>13</v>
      </c>
      <c r="C56" s="29">
        <v>123</v>
      </c>
      <c r="D56" s="29">
        <v>3.4634146341463414</v>
      </c>
      <c r="E56" s="29">
        <v>36.585365853658537</v>
      </c>
      <c r="F56" s="29">
        <v>78</v>
      </c>
      <c r="G56" s="29">
        <v>63.414634146341463</v>
      </c>
    </row>
    <row r="57" spans="1:7" x14ac:dyDescent="0.3">
      <c r="A57" s="26">
        <v>42064</v>
      </c>
      <c r="B57" s="27" t="s">
        <v>14</v>
      </c>
      <c r="C57" s="27">
        <v>525</v>
      </c>
      <c r="D57" s="27">
        <v>3.3752380952380951</v>
      </c>
      <c r="E57" s="27">
        <v>50.285714285714292</v>
      </c>
      <c r="F57" s="27">
        <v>261</v>
      </c>
      <c r="G57" s="27">
        <v>49.714285714285715</v>
      </c>
    </row>
    <row r="58" spans="1:7" x14ac:dyDescent="0.3">
      <c r="A58" s="28">
        <v>42064</v>
      </c>
      <c r="B58" s="29" t="s">
        <v>15</v>
      </c>
      <c r="C58" s="29">
        <v>9</v>
      </c>
      <c r="D58" s="29">
        <v>3.5555555555555554</v>
      </c>
      <c r="E58" s="29">
        <v>11.111111111111111</v>
      </c>
      <c r="F58" s="29">
        <v>8</v>
      </c>
      <c r="G58" s="29">
        <v>88.888888888888886</v>
      </c>
    </row>
    <row r="59" spans="1:7" x14ac:dyDescent="0.3">
      <c r="A59" s="28">
        <v>42064</v>
      </c>
      <c r="B59" s="29" t="s">
        <v>16</v>
      </c>
      <c r="C59" s="29">
        <v>46</v>
      </c>
      <c r="D59" s="29">
        <v>3.5434782608695654</v>
      </c>
      <c r="E59" s="29">
        <v>43.478260869565219</v>
      </c>
      <c r="F59" s="29">
        <v>26</v>
      </c>
      <c r="G59" s="29">
        <v>56.521739130434781</v>
      </c>
    </row>
    <row r="60" spans="1:7" x14ac:dyDescent="0.3">
      <c r="A60" s="26">
        <v>42064</v>
      </c>
      <c r="B60" s="27" t="s">
        <v>17</v>
      </c>
      <c r="C60" s="27">
        <v>6</v>
      </c>
      <c r="D60" s="27">
        <v>3.6666666666666665</v>
      </c>
      <c r="E60" s="27">
        <v>50</v>
      </c>
      <c r="F60" s="27">
        <v>3</v>
      </c>
      <c r="G60" s="27">
        <v>50</v>
      </c>
    </row>
    <row r="61" spans="1:7" x14ac:dyDescent="0.3">
      <c r="A61" s="28">
        <v>42064</v>
      </c>
      <c r="B61" s="29" t="s">
        <v>18</v>
      </c>
      <c r="C61" s="29">
        <v>68</v>
      </c>
      <c r="D61" s="29">
        <v>3.5882352941176472</v>
      </c>
      <c r="E61" s="29">
        <v>42.647058823529413</v>
      </c>
      <c r="F61" s="29">
        <v>39</v>
      </c>
      <c r="G61" s="29">
        <v>57.352941176470587</v>
      </c>
    </row>
    <row r="62" spans="1:7" x14ac:dyDescent="0.3">
      <c r="A62" s="26">
        <v>42064</v>
      </c>
      <c r="B62" s="27" t="s">
        <v>19</v>
      </c>
      <c r="C62" s="27">
        <v>36</v>
      </c>
      <c r="D62" s="27">
        <v>3.3888888888888888</v>
      </c>
      <c r="E62" s="27">
        <v>52.777777777777779</v>
      </c>
      <c r="F62" s="27">
        <v>17</v>
      </c>
      <c r="G62" s="27">
        <v>47.222222222222221</v>
      </c>
    </row>
    <row r="63" spans="1:7" x14ac:dyDescent="0.3">
      <c r="A63" s="28">
        <v>42064</v>
      </c>
      <c r="B63" s="29" t="s">
        <v>20</v>
      </c>
      <c r="C63" s="29">
        <v>14</v>
      </c>
      <c r="D63" s="29">
        <v>3.3571428571428572</v>
      </c>
      <c r="E63" s="29">
        <v>42.857142857142854</v>
      </c>
      <c r="F63" s="29">
        <v>8</v>
      </c>
      <c r="G63" s="29">
        <v>57.142857142857139</v>
      </c>
    </row>
    <row r="64" spans="1:7" x14ac:dyDescent="0.3">
      <c r="A64" s="26">
        <v>42064</v>
      </c>
      <c r="B64" s="27" t="s">
        <v>21</v>
      </c>
      <c r="C64" s="27">
        <v>17</v>
      </c>
      <c r="D64" s="27">
        <v>3.4117647058823528</v>
      </c>
      <c r="E64" s="27">
        <v>47.058823529411761</v>
      </c>
      <c r="F64" s="27">
        <v>9</v>
      </c>
      <c r="G64" s="27">
        <v>52.941176470588239</v>
      </c>
    </row>
    <row r="65" spans="1:7" x14ac:dyDescent="0.3">
      <c r="A65" s="26">
        <v>42064</v>
      </c>
      <c r="B65" s="27" t="s">
        <v>22</v>
      </c>
      <c r="C65" s="27">
        <v>13</v>
      </c>
      <c r="D65" s="27">
        <v>3.3846153846153846</v>
      </c>
      <c r="E65" s="27">
        <v>53.846153846153847</v>
      </c>
      <c r="F65" s="27">
        <v>6</v>
      </c>
      <c r="G65" s="27">
        <v>46.153846153846153</v>
      </c>
    </row>
    <row r="66" spans="1:7" x14ac:dyDescent="0.3">
      <c r="A66" s="28">
        <v>42064</v>
      </c>
      <c r="B66" s="29" t="s">
        <v>23</v>
      </c>
      <c r="C66" s="29">
        <v>635</v>
      </c>
      <c r="D66" s="29">
        <v>3.5952755905511813</v>
      </c>
      <c r="E66" s="29">
        <v>44.251968503937007</v>
      </c>
      <c r="F66" s="29">
        <v>354</v>
      </c>
      <c r="G66" s="29">
        <v>55.748031496062985</v>
      </c>
    </row>
    <row r="67" spans="1:7" x14ac:dyDescent="0.3">
      <c r="A67" s="28">
        <v>42064</v>
      </c>
      <c r="B67" s="29" t="s">
        <v>24</v>
      </c>
      <c r="C67" s="29">
        <v>10</v>
      </c>
      <c r="D67" s="29">
        <v>3.4</v>
      </c>
      <c r="E67" s="29">
        <v>30</v>
      </c>
      <c r="F67" s="29">
        <v>7</v>
      </c>
      <c r="G67" s="29">
        <v>70</v>
      </c>
    </row>
    <row r="68" spans="1:7" x14ac:dyDescent="0.3">
      <c r="A68" s="28">
        <v>42064</v>
      </c>
      <c r="B68" s="29" t="s">
        <v>25</v>
      </c>
      <c r="C68" s="29">
        <v>618</v>
      </c>
      <c r="D68" s="29">
        <v>3.4773462783171523</v>
      </c>
      <c r="E68" s="29">
        <v>44.983818770226534</v>
      </c>
      <c r="F68" s="29">
        <v>340</v>
      </c>
      <c r="G68" s="29">
        <v>55.016181229773466</v>
      </c>
    </row>
    <row r="69" spans="1:7" x14ac:dyDescent="0.3">
      <c r="A69" s="26">
        <v>42064</v>
      </c>
      <c r="B69" s="27" t="s">
        <v>26</v>
      </c>
      <c r="C69" s="27">
        <v>367</v>
      </c>
      <c r="D69" s="27">
        <v>3.4523160762942777</v>
      </c>
      <c r="E69" s="27">
        <v>47.956403269754766</v>
      </c>
      <c r="F69" s="27">
        <v>191</v>
      </c>
      <c r="G69" s="27">
        <v>52.043596730245234</v>
      </c>
    </row>
    <row r="70" spans="1:7" x14ac:dyDescent="0.3">
      <c r="A70" s="26">
        <v>42064</v>
      </c>
      <c r="B70" s="27" t="s">
        <v>27</v>
      </c>
      <c r="C70" s="27">
        <v>15</v>
      </c>
      <c r="D70" s="27">
        <v>3.2666666666666666</v>
      </c>
      <c r="E70" s="27">
        <v>53.333333333333336</v>
      </c>
      <c r="F70" s="27">
        <v>7</v>
      </c>
      <c r="G70" s="27">
        <v>46.666666666666664</v>
      </c>
    </row>
    <row r="71" spans="1:7" x14ac:dyDescent="0.3">
      <c r="A71" s="28">
        <v>42064</v>
      </c>
      <c r="B71" s="29" t="s">
        <v>28</v>
      </c>
      <c r="C71" s="29">
        <v>43</v>
      </c>
      <c r="D71" s="29">
        <v>3.8372093023255816</v>
      </c>
      <c r="E71" s="29">
        <v>44.186046511627907</v>
      </c>
      <c r="F71" s="29">
        <v>24</v>
      </c>
      <c r="G71" s="29">
        <v>55.813953488372093</v>
      </c>
    </row>
    <row r="72" spans="1:7" x14ac:dyDescent="0.3">
      <c r="A72" s="26">
        <v>42064</v>
      </c>
      <c r="B72" s="27" t="s">
        <v>29</v>
      </c>
      <c r="C72" s="27">
        <v>480</v>
      </c>
      <c r="D72" s="27">
        <v>3.3791666666666669</v>
      </c>
      <c r="E72" s="27">
        <v>47.5</v>
      </c>
      <c r="F72" s="27">
        <v>252</v>
      </c>
      <c r="G72" s="27">
        <v>52.5</v>
      </c>
    </row>
    <row r="73" spans="1:7" x14ac:dyDescent="0.3">
      <c r="A73" s="28">
        <v>42064</v>
      </c>
      <c r="B73" s="29" t="s">
        <v>30</v>
      </c>
      <c r="C73" s="29">
        <v>665</v>
      </c>
      <c r="D73" s="29">
        <v>3.4436090225563909</v>
      </c>
      <c r="E73" s="29">
        <v>44.060150375939848</v>
      </c>
      <c r="F73" s="29">
        <v>372</v>
      </c>
      <c r="G73" s="29">
        <v>55.939849624060145</v>
      </c>
    </row>
    <row r="74" spans="1:7" x14ac:dyDescent="0.3">
      <c r="A74" s="26">
        <v>42095</v>
      </c>
      <c r="B74" s="27" t="s">
        <v>7</v>
      </c>
      <c r="C74" s="27">
        <v>53</v>
      </c>
      <c r="D74" s="27">
        <v>3.2075471698113209</v>
      </c>
      <c r="E74" s="27">
        <v>54.716981132075468</v>
      </c>
      <c r="F74" s="27">
        <v>24</v>
      </c>
      <c r="G74" s="27">
        <v>45.283018867924532</v>
      </c>
    </row>
    <row r="75" spans="1:7" x14ac:dyDescent="0.3">
      <c r="A75" s="26">
        <v>42095</v>
      </c>
      <c r="B75" s="27" t="s">
        <v>8</v>
      </c>
      <c r="C75" s="27">
        <v>21</v>
      </c>
      <c r="D75" s="27">
        <v>3.3333333333333335</v>
      </c>
      <c r="E75" s="27">
        <v>52.380952380952387</v>
      </c>
      <c r="F75" s="27">
        <v>10</v>
      </c>
      <c r="G75" s="27">
        <v>47.619047619047613</v>
      </c>
    </row>
    <row r="76" spans="1:7" x14ac:dyDescent="0.3">
      <c r="A76" s="28">
        <v>42095</v>
      </c>
      <c r="B76" s="29" t="s">
        <v>9</v>
      </c>
      <c r="C76" s="29">
        <v>13</v>
      </c>
      <c r="D76" s="29">
        <v>3</v>
      </c>
      <c r="E76" s="29">
        <v>38.461538461538467</v>
      </c>
      <c r="F76" s="29">
        <v>8</v>
      </c>
      <c r="G76" s="29">
        <v>61.53846153846154</v>
      </c>
    </row>
    <row r="77" spans="1:7" x14ac:dyDescent="0.3">
      <c r="A77" s="28">
        <v>42095</v>
      </c>
      <c r="B77" s="29" t="s">
        <v>10</v>
      </c>
      <c r="C77" s="29">
        <v>417</v>
      </c>
      <c r="D77" s="29">
        <v>3.5827338129496402</v>
      </c>
      <c r="E77" s="29">
        <v>44.84412470023981</v>
      </c>
      <c r="F77" s="29">
        <v>230</v>
      </c>
      <c r="G77" s="29">
        <v>55.15587529976019</v>
      </c>
    </row>
    <row r="78" spans="1:7" x14ac:dyDescent="0.3">
      <c r="A78" s="28">
        <v>42095</v>
      </c>
      <c r="B78" s="29" t="s">
        <v>11</v>
      </c>
      <c r="C78" s="29">
        <v>354</v>
      </c>
      <c r="D78" s="29">
        <v>3.7033898305084745</v>
      </c>
      <c r="E78" s="29">
        <v>43.78531073446328</v>
      </c>
      <c r="F78" s="29">
        <v>199</v>
      </c>
      <c r="G78" s="29">
        <v>56.21468926553672</v>
      </c>
    </row>
    <row r="79" spans="1:7" x14ac:dyDescent="0.3">
      <c r="A79" s="26">
        <v>42095</v>
      </c>
      <c r="B79" s="27" t="s">
        <v>12</v>
      </c>
      <c r="C79" s="27">
        <v>726</v>
      </c>
      <c r="D79" s="27">
        <v>3.5991735537190084</v>
      </c>
      <c r="E79" s="27">
        <v>48.484848484848484</v>
      </c>
      <c r="F79" s="27">
        <v>374</v>
      </c>
      <c r="G79" s="27">
        <v>51.515151515151516</v>
      </c>
    </row>
    <row r="80" spans="1:7" x14ac:dyDescent="0.3">
      <c r="A80" s="28">
        <v>42095</v>
      </c>
      <c r="B80" s="29" t="s">
        <v>13</v>
      </c>
      <c r="C80" s="29">
        <v>97</v>
      </c>
      <c r="D80" s="29">
        <v>3.2783505154639174</v>
      </c>
      <c r="E80" s="29">
        <v>43.298969072164951</v>
      </c>
      <c r="F80" s="29">
        <v>55</v>
      </c>
      <c r="G80" s="29">
        <v>56.701030927835049</v>
      </c>
    </row>
    <row r="81" spans="1:7" x14ac:dyDescent="0.3">
      <c r="A81" s="28">
        <v>42095</v>
      </c>
      <c r="B81" s="29" t="s">
        <v>14</v>
      </c>
      <c r="C81" s="29">
        <v>523</v>
      </c>
      <c r="D81" s="29">
        <v>3.5086042065009559</v>
      </c>
      <c r="E81" s="29">
        <v>44.359464627151048</v>
      </c>
      <c r="F81" s="29">
        <v>291</v>
      </c>
      <c r="G81" s="29">
        <v>55.640535372848952</v>
      </c>
    </row>
    <row r="82" spans="1:7" x14ac:dyDescent="0.3">
      <c r="A82" s="28">
        <v>42095</v>
      </c>
      <c r="B82" s="29" t="s">
        <v>15</v>
      </c>
      <c r="C82" s="29">
        <v>21</v>
      </c>
      <c r="D82" s="29">
        <v>3.4761904761904763</v>
      </c>
      <c r="E82" s="29">
        <v>38.095238095238095</v>
      </c>
      <c r="F82" s="29">
        <v>13</v>
      </c>
      <c r="G82" s="29">
        <v>61.904761904761905</v>
      </c>
    </row>
    <row r="83" spans="1:7" x14ac:dyDescent="0.3">
      <c r="A83" s="28">
        <v>42095</v>
      </c>
      <c r="B83" s="29" t="s">
        <v>16</v>
      </c>
      <c r="C83" s="29">
        <v>45</v>
      </c>
      <c r="D83" s="29">
        <v>3.2888888888888888</v>
      </c>
      <c r="E83" s="29">
        <v>40</v>
      </c>
      <c r="F83" s="29">
        <v>27</v>
      </c>
      <c r="G83" s="29">
        <v>60</v>
      </c>
    </row>
    <row r="84" spans="1:7" x14ac:dyDescent="0.3">
      <c r="A84" s="26">
        <v>42095</v>
      </c>
      <c r="B84" s="27" t="s">
        <v>17</v>
      </c>
      <c r="C84" s="27">
        <v>12</v>
      </c>
      <c r="D84" s="27">
        <v>3.5</v>
      </c>
      <c r="E84" s="27">
        <v>58.333333333333336</v>
      </c>
      <c r="F84" s="27">
        <v>5</v>
      </c>
      <c r="G84" s="27">
        <v>41.666666666666671</v>
      </c>
    </row>
    <row r="85" spans="1:7" x14ac:dyDescent="0.3">
      <c r="A85" s="26">
        <v>42095</v>
      </c>
      <c r="B85" s="27" t="s">
        <v>18</v>
      </c>
      <c r="C85" s="27">
        <v>56</v>
      </c>
      <c r="D85" s="27">
        <v>3.5357142857142856</v>
      </c>
      <c r="E85" s="27">
        <v>50</v>
      </c>
      <c r="F85" s="27">
        <v>28</v>
      </c>
      <c r="G85" s="27">
        <v>50</v>
      </c>
    </row>
    <row r="86" spans="1:7" x14ac:dyDescent="0.3">
      <c r="A86" s="28">
        <v>42095</v>
      </c>
      <c r="B86" s="29" t="s">
        <v>19</v>
      </c>
      <c r="C86" s="29">
        <v>29</v>
      </c>
      <c r="D86" s="29">
        <v>3.8620689655172415</v>
      </c>
      <c r="E86" s="29">
        <v>37.931034482758619</v>
      </c>
      <c r="F86" s="29">
        <v>18</v>
      </c>
      <c r="G86" s="29">
        <v>62.068965517241381</v>
      </c>
    </row>
    <row r="87" spans="1:7" x14ac:dyDescent="0.3">
      <c r="A87" s="26">
        <v>42095</v>
      </c>
      <c r="B87" s="27" t="s">
        <v>20</v>
      </c>
      <c r="C87" s="27">
        <v>4</v>
      </c>
      <c r="D87" s="27">
        <v>3.5</v>
      </c>
      <c r="E87" s="27">
        <v>50</v>
      </c>
      <c r="F87" s="27">
        <v>2</v>
      </c>
      <c r="G87" s="27">
        <v>50</v>
      </c>
    </row>
    <row r="88" spans="1:7" x14ac:dyDescent="0.3">
      <c r="A88" s="26">
        <v>42095</v>
      </c>
      <c r="B88" s="27" t="s">
        <v>21</v>
      </c>
      <c r="C88" s="27">
        <v>16</v>
      </c>
      <c r="D88" s="27">
        <v>3.4375</v>
      </c>
      <c r="E88" s="27">
        <v>50</v>
      </c>
      <c r="F88" s="27">
        <v>8</v>
      </c>
      <c r="G88" s="27">
        <v>50</v>
      </c>
    </row>
    <row r="89" spans="1:7" x14ac:dyDescent="0.3">
      <c r="A89" s="26">
        <v>42095</v>
      </c>
      <c r="B89" s="27" t="s">
        <v>22</v>
      </c>
      <c r="C89" s="27">
        <v>8</v>
      </c>
      <c r="D89" s="27">
        <v>3.25</v>
      </c>
      <c r="E89" s="27">
        <v>75</v>
      </c>
      <c r="F89" s="27">
        <v>2</v>
      </c>
      <c r="G89" s="27">
        <v>25</v>
      </c>
    </row>
    <row r="90" spans="1:7" x14ac:dyDescent="0.3">
      <c r="A90" s="26">
        <v>42095</v>
      </c>
      <c r="B90" s="27" t="s">
        <v>23</v>
      </c>
      <c r="C90" s="27">
        <v>569</v>
      </c>
      <c r="D90" s="27">
        <v>3.4481546572934976</v>
      </c>
      <c r="E90" s="27">
        <v>49.736379613356767</v>
      </c>
      <c r="F90" s="27">
        <v>286</v>
      </c>
      <c r="G90" s="27">
        <v>50.26362038664324</v>
      </c>
    </row>
    <row r="91" spans="1:7" x14ac:dyDescent="0.3">
      <c r="A91" s="26">
        <v>42095</v>
      </c>
      <c r="B91" s="27" t="s">
        <v>24</v>
      </c>
      <c r="C91" s="27">
        <v>10</v>
      </c>
      <c r="D91" s="27">
        <v>3.5</v>
      </c>
      <c r="E91" s="27">
        <v>50</v>
      </c>
      <c r="F91" s="27">
        <v>5</v>
      </c>
      <c r="G91" s="27">
        <v>50</v>
      </c>
    </row>
    <row r="92" spans="1:7" x14ac:dyDescent="0.3">
      <c r="A92" s="26">
        <v>42095</v>
      </c>
      <c r="B92" s="27" t="s">
        <v>25</v>
      </c>
      <c r="C92" s="27">
        <v>653</v>
      </c>
      <c r="D92" s="27">
        <v>3.4900459418070442</v>
      </c>
      <c r="E92" s="27">
        <v>45.788667687595712</v>
      </c>
      <c r="F92" s="27">
        <v>354</v>
      </c>
      <c r="G92" s="27">
        <v>54.211332312404295</v>
      </c>
    </row>
    <row r="93" spans="1:7" x14ac:dyDescent="0.3">
      <c r="A93" s="28">
        <v>42095</v>
      </c>
      <c r="B93" s="29" t="s">
        <v>26</v>
      </c>
      <c r="C93" s="29">
        <v>306</v>
      </c>
      <c r="D93" s="29">
        <v>3.4705882352941178</v>
      </c>
      <c r="E93" s="29">
        <v>44.117647058823529</v>
      </c>
      <c r="F93" s="29">
        <v>171</v>
      </c>
      <c r="G93" s="29">
        <v>55.882352941176471</v>
      </c>
    </row>
    <row r="94" spans="1:7" x14ac:dyDescent="0.3">
      <c r="A94" s="26">
        <v>42095</v>
      </c>
      <c r="B94" s="27" t="s">
        <v>27</v>
      </c>
      <c r="C94" s="27">
        <v>7</v>
      </c>
      <c r="D94" s="27">
        <v>2.8571428571428572</v>
      </c>
      <c r="E94" s="27">
        <v>57.142857142857139</v>
      </c>
      <c r="F94" s="27">
        <v>3</v>
      </c>
      <c r="G94" s="27">
        <v>42.857142857142854</v>
      </c>
    </row>
    <row r="95" spans="1:7" x14ac:dyDescent="0.3">
      <c r="A95" s="28">
        <v>42095</v>
      </c>
      <c r="B95" s="29" t="s">
        <v>28</v>
      </c>
      <c r="C95" s="29">
        <v>35</v>
      </c>
      <c r="D95" s="29">
        <v>3.6285714285714286</v>
      </c>
      <c r="E95" s="29">
        <v>42.857142857142854</v>
      </c>
      <c r="F95" s="29">
        <v>20</v>
      </c>
      <c r="G95" s="29">
        <v>57.142857142857139</v>
      </c>
    </row>
    <row r="96" spans="1:7" x14ac:dyDescent="0.3">
      <c r="A96" s="26">
        <v>42095</v>
      </c>
      <c r="B96" s="27" t="s">
        <v>29</v>
      </c>
      <c r="C96" s="27">
        <v>489</v>
      </c>
      <c r="D96" s="27">
        <v>3.4785276073619631</v>
      </c>
      <c r="E96" s="27">
        <v>46.216768916155424</v>
      </c>
      <c r="F96" s="27">
        <v>263</v>
      </c>
      <c r="G96" s="27">
        <v>53.783231083844584</v>
      </c>
    </row>
    <row r="97" spans="1:7" x14ac:dyDescent="0.3">
      <c r="A97" s="26">
        <v>42095</v>
      </c>
      <c r="B97" s="27" t="s">
        <v>30</v>
      </c>
      <c r="C97" s="27">
        <v>662</v>
      </c>
      <c r="D97" s="27">
        <v>3.4486404833836857</v>
      </c>
      <c r="E97" s="27">
        <v>46.374622356495472</v>
      </c>
      <c r="F97" s="27">
        <v>355</v>
      </c>
      <c r="G97" s="27">
        <v>53.625377643504535</v>
      </c>
    </row>
    <row r="98" spans="1:7" x14ac:dyDescent="0.3">
      <c r="A98" s="28">
        <v>42125</v>
      </c>
      <c r="B98" s="29" t="s">
        <v>7</v>
      </c>
      <c r="C98" s="29">
        <v>70</v>
      </c>
      <c r="D98" s="29">
        <v>3.157142857142857</v>
      </c>
      <c r="E98" s="29">
        <v>42.857142857142854</v>
      </c>
      <c r="F98" s="29">
        <v>40</v>
      </c>
      <c r="G98" s="29">
        <v>57.142857142857139</v>
      </c>
    </row>
    <row r="99" spans="1:7" x14ac:dyDescent="0.3">
      <c r="A99" s="28">
        <v>42125</v>
      </c>
      <c r="B99" s="29" t="s">
        <v>8</v>
      </c>
      <c r="C99" s="29">
        <v>26</v>
      </c>
      <c r="D99" s="29">
        <v>3.2692307692307692</v>
      </c>
      <c r="E99" s="29">
        <v>42.307692307692307</v>
      </c>
      <c r="F99" s="29">
        <v>15</v>
      </c>
      <c r="G99" s="29">
        <v>57.692307692307686</v>
      </c>
    </row>
    <row r="100" spans="1:7" x14ac:dyDescent="0.3">
      <c r="A100" s="28">
        <v>42125</v>
      </c>
      <c r="B100" s="29" t="s">
        <v>9</v>
      </c>
      <c r="C100" s="29">
        <v>12</v>
      </c>
      <c r="D100" s="29">
        <v>3.5833333333333335</v>
      </c>
      <c r="E100" s="29">
        <v>25</v>
      </c>
      <c r="F100" s="29">
        <v>9</v>
      </c>
      <c r="G100" s="29">
        <v>75</v>
      </c>
    </row>
    <row r="101" spans="1:7" x14ac:dyDescent="0.3">
      <c r="A101" s="28">
        <v>42125</v>
      </c>
      <c r="B101" s="29" t="s">
        <v>10</v>
      </c>
      <c r="C101" s="29">
        <v>392</v>
      </c>
      <c r="D101" s="29">
        <v>3.4464285714285716</v>
      </c>
      <c r="E101" s="29">
        <v>44.897959183673471</v>
      </c>
      <c r="F101" s="29">
        <v>216</v>
      </c>
      <c r="G101" s="29">
        <v>55.102040816326522</v>
      </c>
    </row>
    <row r="102" spans="1:7" x14ac:dyDescent="0.3">
      <c r="A102" s="26">
        <v>42125</v>
      </c>
      <c r="B102" s="27" t="s">
        <v>11</v>
      </c>
      <c r="C102" s="27">
        <v>461</v>
      </c>
      <c r="D102" s="27">
        <v>3.3861171366594358</v>
      </c>
      <c r="E102" s="27">
        <v>45.986984815618221</v>
      </c>
      <c r="F102" s="27">
        <v>249</v>
      </c>
      <c r="G102" s="27">
        <v>54.013015184381771</v>
      </c>
    </row>
    <row r="103" spans="1:7" x14ac:dyDescent="0.3">
      <c r="A103" s="26">
        <v>42125</v>
      </c>
      <c r="B103" s="27" t="s">
        <v>12</v>
      </c>
      <c r="C103" s="27">
        <v>750</v>
      </c>
      <c r="D103" s="27">
        <v>3.4746666666666668</v>
      </c>
      <c r="E103" s="27">
        <v>46.533333333333331</v>
      </c>
      <c r="F103" s="27">
        <v>401</v>
      </c>
      <c r="G103" s="27">
        <v>53.466666666666661</v>
      </c>
    </row>
    <row r="104" spans="1:7" x14ac:dyDescent="0.3">
      <c r="A104" s="28">
        <v>42125</v>
      </c>
      <c r="B104" s="29" t="s">
        <v>13</v>
      </c>
      <c r="C104" s="29">
        <v>120</v>
      </c>
      <c r="D104" s="29">
        <v>3.3666666666666667</v>
      </c>
      <c r="E104" s="29">
        <v>44.166666666666664</v>
      </c>
      <c r="F104" s="29">
        <v>67</v>
      </c>
      <c r="G104" s="29">
        <v>55.833333333333336</v>
      </c>
    </row>
    <row r="105" spans="1:7" x14ac:dyDescent="0.3">
      <c r="A105" s="28">
        <v>42125</v>
      </c>
      <c r="B105" s="29" t="s">
        <v>14</v>
      </c>
      <c r="C105" s="29">
        <v>516</v>
      </c>
      <c r="D105" s="29">
        <v>3.5155038759689923</v>
      </c>
      <c r="E105" s="29">
        <v>43.02325581395349</v>
      </c>
      <c r="F105" s="29">
        <v>294</v>
      </c>
      <c r="G105" s="29">
        <v>56.97674418604651</v>
      </c>
    </row>
    <row r="106" spans="1:7" x14ac:dyDescent="0.3">
      <c r="A106" s="28">
        <v>42125</v>
      </c>
      <c r="B106" s="29" t="s">
        <v>15</v>
      </c>
      <c r="C106" s="29">
        <v>10</v>
      </c>
      <c r="D106" s="29">
        <v>3.5</v>
      </c>
      <c r="E106" s="29">
        <v>30</v>
      </c>
      <c r="F106" s="29">
        <v>7</v>
      </c>
      <c r="G106" s="29">
        <v>70</v>
      </c>
    </row>
    <row r="107" spans="1:7" x14ac:dyDescent="0.3">
      <c r="A107" s="26">
        <v>42125</v>
      </c>
      <c r="B107" s="27" t="s">
        <v>16</v>
      </c>
      <c r="C107" s="27">
        <v>41</v>
      </c>
      <c r="D107" s="27">
        <v>3.4390243902439024</v>
      </c>
      <c r="E107" s="27">
        <v>46.341463414634148</v>
      </c>
      <c r="F107" s="27">
        <v>22</v>
      </c>
      <c r="G107" s="27">
        <v>53.658536585365859</v>
      </c>
    </row>
    <row r="108" spans="1:7" x14ac:dyDescent="0.3">
      <c r="A108" s="28">
        <v>42125</v>
      </c>
      <c r="B108" s="29" t="s">
        <v>17</v>
      </c>
      <c r="C108" s="29">
        <v>11</v>
      </c>
      <c r="D108" s="29">
        <v>4.4545454545454541</v>
      </c>
      <c r="E108" s="29">
        <v>36.363636363636367</v>
      </c>
      <c r="F108" s="29">
        <v>7</v>
      </c>
      <c r="G108" s="29">
        <v>63.636363636363633</v>
      </c>
    </row>
    <row r="109" spans="1:7" x14ac:dyDescent="0.3">
      <c r="A109" s="26">
        <v>42125</v>
      </c>
      <c r="B109" s="27" t="s">
        <v>18</v>
      </c>
      <c r="C109" s="27">
        <v>64</v>
      </c>
      <c r="D109" s="27">
        <v>3.40625</v>
      </c>
      <c r="E109" s="27">
        <v>45.3125</v>
      </c>
      <c r="F109" s="27">
        <v>35</v>
      </c>
      <c r="G109" s="27">
        <v>54.6875</v>
      </c>
    </row>
    <row r="110" spans="1:7" x14ac:dyDescent="0.3">
      <c r="A110" s="26">
        <v>42125</v>
      </c>
      <c r="B110" s="27" t="s">
        <v>19</v>
      </c>
      <c r="C110" s="27">
        <v>43</v>
      </c>
      <c r="D110" s="27">
        <v>3.4186046511627906</v>
      </c>
      <c r="E110" s="27">
        <v>53.488372093023251</v>
      </c>
      <c r="F110" s="27">
        <v>20</v>
      </c>
      <c r="G110" s="27">
        <v>46.511627906976742</v>
      </c>
    </row>
    <row r="111" spans="1:7" x14ac:dyDescent="0.3">
      <c r="A111" s="26">
        <v>42125</v>
      </c>
      <c r="B111" s="27" t="s">
        <v>20</v>
      </c>
      <c r="C111" s="27">
        <v>14</v>
      </c>
      <c r="D111" s="27">
        <v>3.5714285714285716</v>
      </c>
      <c r="E111" s="27">
        <v>64.285714285714292</v>
      </c>
      <c r="F111" s="27">
        <v>5</v>
      </c>
      <c r="G111" s="27">
        <v>35.714285714285715</v>
      </c>
    </row>
    <row r="112" spans="1:7" x14ac:dyDescent="0.3">
      <c r="A112" s="26">
        <v>42125</v>
      </c>
      <c r="B112" s="27" t="s">
        <v>21</v>
      </c>
      <c r="C112" s="27">
        <v>31</v>
      </c>
      <c r="D112" s="27">
        <v>3.161290322580645</v>
      </c>
      <c r="E112" s="27">
        <v>51.612903225806448</v>
      </c>
      <c r="F112" s="27">
        <v>15</v>
      </c>
      <c r="G112" s="27">
        <v>48.387096774193552</v>
      </c>
    </row>
    <row r="113" spans="1:7" x14ac:dyDescent="0.3">
      <c r="A113" s="28">
        <v>42125</v>
      </c>
      <c r="B113" s="29" t="s">
        <v>22</v>
      </c>
      <c r="C113" s="29">
        <v>9</v>
      </c>
      <c r="D113" s="29">
        <v>3.6666666666666665</v>
      </c>
      <c r="E113" s="29">
        <v>22.222222222222221</v>
      </c>
      <c r="F113" s="29">
        <v>7</v>
      </c>
      <c r="G113" s="29">
        <v>77.777777777777786</v>
      </c>
    </row>
    <row r="114" spans="1:7" x14ac:dyDescent="0.3">
      <c r="A114" s="26">
        <v>42125</v>
      </c>
      <c r="B114" s="27" t="s">
        <v>23</v>
      </c>
      <c r="C114" s="27">
        <v>596</v>
      </c>
      <c r="D114" s="27">
        <v>3.3808724832214767</v>
      </c>
      <c r="E114" s="27">
        <v>45.805369127516776</v>
      </c>
      <c r="F114" s="27">
        <v>323</v>
      </c>
      <c r="G114" s="27">
        <v>54.194630872483216</v>
      </c>
    </row>
    <row r="115" spans="1:7" x14ac:dyDescent="0.3">
      <c r="A115" s="28">
        <v>42125</v>
      </c>
      <c r="B115" s="29" t="s">
        <v>24</v>
      </c>
      <c r="C115" s="29">
        <v>14</v>
      </c>
      <c r="D115" s="29">
        <v>3.8571428571428572</v>
      </c>
      <c r="E115" s="29">
        <v>28.571428571428569</v>
      </c>
      <c r="F115" s="29">
        <v>10</v>
      </c>
      <c r="G115" s="29">
        <v>71.428571428571431</v>
      </c>
    </row>
    <row r="116" spans="1:7" x14ac:dyDescent="0.3">
      <c r="A116" s="26">
        <v>42125</v>
      </c>
      <c r="B116" s="27" t="s">
        <v>25</v>
      </c>
      <c r="C116" s="27">
        <v>644</v>
      </c>
      <c r="D116" s="27">
        <v>3.4363354037267082</v>
      </c>
      <c r="E116" s="27">
        <v>46.273291925465834</v>
      </c>
      <c r="F116" s="27">
        <v>346</v>
      </c>
      <c r="G116" s="27">
        <v>53.726708074534159</v>
      </c>
    </row>
    <row r="117" spans="1:7" x14ac:dyDescent="0.3">
      <c r="A117" s="28">
        <v>42125</v>
      </c>
      <c r="B117" s="29" t="s">
        <v>26</v>
      </c>
      <c r="C117" s="29">
        <v>355</v>
      </c>
      <c r="D117" s="29">
        <v>3.5492957746478875</v>
      </c>
      <c r="E117" s="29">
        <v>41.12676056338028</v>
      </c>
      <c r="F117" s="29">
        <v>209</v>
      </c>
      <c r="G117" s="29">
        <v>58.87323943661972</v>
      </c>
    </row>
    <row r="118" spans="1:7" x14ac:dyDescent="0.3">
      <c r="A118" s="28">
        <v>42125</v>
      </c>
      <c r="B118" s="29" t="s">
        <v>27</v>
      </c>
      <c r="C118" s="29">
        <v>7</v>
      </c>
      <c r="D118" s="29">
        <v>4.1428571428571432</v>
      </c>
      <c r="E118" s="29">
        <v>42.857142857142854</v>
      </c>
      <c r="F118" s="29">
        <v>4</v>
      </c>
      <c r="G118" s="29">
        <v>57.142857142857139</v>
      </c>
    </row>
    <row r="119" spans="1:7" x14ac:dyDescent="0.3">
      <c r="A119" s="28">
        <v>42125</v>
      </c>
      <c r="B119" s="29" t="s">
        <v>28</v>
      </c>
      <c r="C119" s="29">
        <v>27</v>
      </c>
      <c r="D119" s="29">
        <v>3.3703703703703702</v>
      </c>
      <c r="E119" s="29">
        <v>40.74074074074074</v>
      </c>
      <c r="F119" s="29">
        <v>16</v>
      </c>
      <c r="G119" s="29">
        <v>59.259259259259252</v>
      </c>
    </row>
    <row r="120" spans="1:7" x14ac:dyDescent="0.3">
      <c r="A120" s="26">
        <v>42125</v>
      </c>
      <c r="B120" s="27" t="s">
        <v>29</v>
      </c>
      <c r="C120" s="27">
        <v>495</v>
      </c>
      <c r="D120" s="27">
        <v>3.4161616161616162</v>
      </c>
      <c r="E120" s="27">
        <v>45.454545454545453</v>
      </c>
      <c r="F120" s="27">
        <v>270</v>
      </c>
      <c r="G120" s="27">
        <v>54.54545454545454</v>
      </c>
    </row>
    <row r="121" spans="1:7" x14ac:dyDescent="0.3">
      <c r="A121" s="28">
        <v>42125</v>
      </c>
      <c r="B121" s="29" t="s">
        <v>30</v>
      </c>
      <c r="C121" s="29">
        <v>649</v>
      </c>
      <c r="D121" s="29">
        <v>3.4776579352850541</v>
      </c>
      <c r="E121" s="29">
        <v>42.372881355932201</v>
      </c>
      <c r="F121" s="29">
        <v>374</v>
      </c>
      <c r="G121" s="29">
        <v>57.627118644067799</v>
      </c>
    </row>
    <row r="122" spans="1:7" x14ac:dyDescent="0.3">
      <c r="A122" s="26">
        <v>42156</v>
      </c>
      <c r="B122" s="27" t="s">
        <v>7</v>
      </c>
      <c r="C122" s="27">
        <v>65</v>
      </c>
      <c r="D122" s="27">
        <v>3.476923076923077</v>
      </c>
      <c r="E122" s="27">
        <v>47.692307692307693</v>
      </c>
      <c r="F122" s="27">
        <v>34</v>
      </c>
      <c r="G122" s="27">
        <v>52.307692307692314</v>
      </c>
    </row>
    <row r="123" spans="1:7" x14ac:dyDescent="0.3">
      <c r="A123" s="26">
        <v>42156</v>
      </c>
      <c r="B123" s="27" t="s">
        <v>8</v>
      </c>
      <c r="C123" s="27">
        <v>16</v>
      </c>
      <c r="D123" s="27">
        <v>3.5</v>
      </c>
      <c r="E123" s="27">
        <v>56.25</v>
      </c>
      <c r="F123" s="27">
        <v>7</v>
      </c>
      <c r="G123" s="27">
        <v>43.75</v>
      </c>
    </row>
    <row r="124" spans="1:7" x14ac:dyDescent="0.3">
      <c r="A124" s="26">
        <v>42156</v>
      </c>
      <c r="B124" s="27" t="s">
        <v>9</v>
      </c>
      <c r="C124" s="27">
        <v>7</v>
      </c>
      <c r="D124" s="27">
        <v>3.1428571428571428</v>
      </c>
      <c r="E124" s="27">
        <v>57.142857142857139</v>
      </c>
      <c r="F124" s="27">
        <v>3</v>
      </c>
      <c r="G124" s="27">
        <v>42.857142857142854</v>
      </c>
    </row>
    <row r="125" spans="1:7" x14ac:dyDescent="0.3">
      <c r="A125" s="26">
        <v>42156</v>
      </c>
      <c r="B125" s="27" t="s">
        <v>10</v>
      </c>
      <c r="C125" s="27">
        <v>411</v>
      </c>
      <c r="D125" s="27">
        <v>3.4793187347931873</v>
      </c>
      <c r="E125" s="27">
        <v>48.418491484184919</v>
      </c>
      <c r="F125" s="27">
        <v>212</v>
      </c>
      <c r="G125" s="27">
        <v>51.581508515815088</v>
      </c>
    </row>
    <row r="126" spans="1:7" x14ac:dyDescent="0.3">
      <c r="A126" s="26">
        <v>42156</v>
      </c>
      <c r="B126" s="27" t="s">
        <v>11</v>
      </c>
      <c r="C126" s="27">
        <v>433</v>
      </c>
      <c r="D126" s="27">
        <v>3.4595842956120091</v>
      </c>
      <c r="E126" s="27">
        <v>49.653579676674362</v>
      </c>
      <c r="F126" s="27">
        <v>218</v>
      </c>
      <c r="G126" s="27">
        <v>50.346420323325638</v>
      </c>
    </row>
    <row r="127" spans="1:7" x14ac:dyDescent="0.3">
      <c r="A127" s="26">
        <v>42156</v>
      </c>
      <c r="B127" s="27" t="s">
        <v>12</v>
      </c>
      <c r="C127" s="27">
        <v>722</v>
      </c>
      <c r="D127" s="27">
        <v>3.5235457063711912</v>
      </c>
      <c r="E127" s="27">
        <v>46.260387811634352</v>
      </c>
      <c r="F127" s="27">
        <v>388</v>
      </c>
      <c r="G127" s="27">
        <v>53.739612188365648</v>
      </c>
    </row>
    <row r="128" spans="1:7" x14ac:dyDescent="0.3">
      <c r="A128" s="26">
        <v>42156</v>
      </c>
      <c r="B128" s="27" t="s">
        <v>13</v>
      </c>
      <c r="C128" s="27">
        <v>109</v>
      </c>
      <c r="D128" s="27">
        <v>3.1376146788990824</v>
      </c>
      <c r="E128" s="27">
        <v>50.458715596330272</v>
      </c>
      <c r="F128" s="27">
        <v>54</v>
      </c>
      <c r="G128" s="27">
        <v>49.541284403669728</v>
      </c>
    </row>
    <row r="129" spans="1:7" x14ac:dyDescent="0.3">
      <c r="A129" s="28">
        <v>42156</v>
      </c>
      <c r="B129" s="29" t="s">
        <v>14</v>
      </c>
      <c r="C129" s="29">
        <v>538</v>
      </c>
      <c r="D129" s="29">
        <v>3.503717472118959</v>
      </c>
      <c r="E129" s="29">
        <v>43.308550185873607</v>
      </c>
      <c r="F129" s="29">
        <v>305</v>
      </c>
      <c r="G129" s="29">
        <v>56.691449814126393</v>
      </c>
    </row>
    <row r="130" spans="1:7" x14ac:dyDescent="0.3">
      <c r="A130" s="28">
        <v>42156</v>
      </c>
      <c r="B130" s="29" t="s">
        <v>15</v>
      </c>
      <c r="C130" s="29">
        <v>10</v>
      </c>
      <c r="D130" s="29">
        <v>2.7</v>
      </c>
      <c r="E130" s="29">
        <v>30</v>
      </c>
      <c r="F130" s="29">
        <v>7</v>
      </c>
      <c r="G130" s="29">
        <v>70</v>
      </c>
    </row>
    <row r="131" spans="1:7" x14ac:dyDescent="0.3">
      <c r="A131" s="28">
        <v>42156</v>
      </c>
      <c r="B131" s="29" t="s">
        <v>16</v>
      </c>
      <c r="C131" s="29">
        <v>51</v>
      </c>
      <c r="D131" s="29">
        <v>3.5098039215686274</v>
      </c>
      <c r="E131" s="29">
        <v>41.17647058823529</v>
      </c>
      <c r="F131" s="29">
        <v>30</v>
      </c>
      <c r="G131" s="29">
        <v>58.82352941176471</v>
      </c>
    </row>
    <row r="132" spans="1:7" x14ac:dyDescent="0.3">
      <c r="A132" s="26">
        <v>42156</v>
      </c>
      <c r="B132" s="27" t="s">
        <v>17</v>
      </c>
      <c r="C132" s="27">
        <v>12</v>
      </c>
      <c r="D132" s="27">
        <v>3</v>
      </c>
      <c r="E132" s="27">
        <v>58.333333333333336</v>
      </c>
      <c r="F132" s="27">
        <v>5</v>
      </c>
      <c r="G132" s="27">
        <v>41.666666666666671</v>
      </c>
    </row>
    <row r="133" spans="1:7" x14ac:dyDescent="0.3">
      <c r="A133" s="28">
        <v>42156</v>
      </c>
      <c r="B133" s="29" t="s">
        <v>18</v>
      </c>
      <c r="C133" s="29">
        <v>46</v>
      </c>
      <c r="D133" s="29">
        <v>3.7173913043478262</v>
      </c>
      <c r="E133" s="29">
        <v>39.130434782608695</v>
      </c>
      <c r="F133" s="29">
        <v>28</v>
      </c>
      <c r="G133" s="29">
        <v>60.869565217391312</v>
      </c>
    </row>
    <row r="134" spans="1:7" x14ac:dyDescent="0.3">
      <c r="A134" s="26">
        <v>42156</v>
      </c>
      <c r="B134" s="27" t="s">
        <v>19</v>
      </c>
      <c r="C134" s="27">
        <v>28</v>
      </c>
      <c r="D134" s="27">
        <v>3.0357142857142856</v>
      </c>
      <c r="E134" s="27">
        <v>46.428571428571431</v>
      </c>
      <c r="F134" s="27">
        <v>15</v>
      </c>
      <c r="G134" s="27">
        <v>53.571428571428569</v>
      </c>
    </row>
    <row r="135" spans="1:7" x14ac:dyDescent="0.3">
      <c r="A135" s="28">
        <v>42156</v>
      </c>
      <c r="B135" s="29" t="s">
        <v>20</v>
      </c>
      <c r="C135" s="29">
        <v>16</v>
      </c>
      <c r="D135" s="29">
        <v>3.5</v>
      </c>
      <c r="E135" s="29">
        <v>25</v>
      </c>
      <c r="F135" s="29">
        <v>12</v>
      </c>
      <c r="G135" s="29">
        <v>75</v>
      </c>
    </row>
    <row r="136" spans="1:7" x14ac:dyDescent="0.3">
      <c r="A136" s="26">
        <v>42156</v>
      </c>
      <c r="B136" s="27" t="s">
        <v>21</v>
      </c>
      <c r="C136" s="27">
        <v>26</v>
      </c>
      <c r="D136" s="27">
        <v>3.4230769230769229</v>
      </c>
      <c r="E136" s="27">
        <v>50</v>
      </c>
      <c r="F136" s="27">
        <v>13</v>
      </c>
      <c r="G136" s="27">
        <v>50</v>
      </c>
    </row>
    <row r="137" spans="1:7" x14ac:dyDescent="0.3">
      <c r="A137" s="28">
        <v>42156</v>
      </c>
      <c r="B137" s="29" t="s">
        <v>22</v>
      </c>
      <c r="C137" s="29">
        <v>9</v>
      </c>
      <c r="D137" s="29">
        <v>3.5555555555555554</v>
      </c>
      <c r="E137" s="29">
        <v>33.333333333333329</v>
      </c>
      <c r="F137" s="29">
        <v>6</v>
      </c>
      <c r="G137" s="29">
        <v>66.666666666666657</v>
      </c>
    </row>
    <row r="138" spans="1:7" x14ac:dyDescent="0.3">
      <c r="A138" s="26">
        <v>42156</v>
      </c>
      <c r="B138" s="27" t="s">
        <v>23</v>
      </c>
      <c r="C138" s="27">
        <v>557</v>
      </c>
      <c r="D138" s="27">
        <v>3.5547576301615798</v>
      </c>
      <c r="E138" s="27">
        <v>45.601436265709154</v>
      </c>
      <c r="F138" s="27">
        <v>303</v>
      </c>
      <c r="G138" s="27">
        <v>54.398563734290839</v>
      </c>
    </row>
    <row r="139" spans="1:7" x14ac:dyDescent="0.3">
      <c r="A139" s="26">
        <v>42156</v>
      </c>
      <c r="B139" s="27" t="s">
        <v>24</v>
      </c>
      <c r="C139" s="27">
        <v>5</v>
      </c>
      <c r="D139" s="27">
        <v>3.8</v>
      </c>
      <c r="E139" s="27">
        <v>60</v>
      </c>
      <c r="F139" s="27">
        <v>2</v>
      </c>
      <c r="G139" s="27">
        <v>40</v>
      </c>
    </row>
    <row r="140" spans="1:7" x14ac:dyDescent="0.3">
      <c r="A140" s="28">
        <v>42156</v>
      </c>
      <c r="B140" s="29" t="s">
        <v>25</v>
      </c>
      <c r="C140" s="29">
        <v>666</v>
      </c>
      <c r="D140" s="29">
        <v>3.5675675675675675</v>
      </c>
      <c r="E140" s="29">
        <v>44.74474474474475</v>
      </c>
      <c r="F140" s="29">
        <v>368</v>
      </c>
      <c r="G140" s="29">
        <v>55.25525525525525</v>
      </c>
    </row>
    <row r="141" spans="1:7" x14ac:dyDescent="0.3">
      <c r="A141" s="26">
        <v>42156</v>
      </c>
      <c r="B141" s="27" t="s">
        <v>26</v>
      </c>
      <c r="C141" s="27">
        <v>316</v>
      </c>
      <c r="D141" s="27">
        <v>3.5</v>
      </c>
      <c r="E141" s="27">
        <v>49.050632911392405</v>
      </c>
      <c r="F141" s="27">
        <v>161</v>
      </c>
      <c r="G141" s="27">
        <v>50.949367088607602</v>
      </c>
    </row>
    <row r="142" spans="1:7" x14ac:dyDescent="0.3">
      <c r="A142" s="28">
        <v>42156</v>
      </c>
      <c r="B142" s="29" t="s">
        <v>27</v>
      </c>
      <c r="C142" s="29">
        <v>10</v>
      </c>
      <c r="D142" s="29">
        <v>3.3</v>
      </c>
      <c r="E142" s="29">
        <v>40</v>
      </c>
      <c r="F142" s="29">
        <v>6</v>
      </c>
      <c r="G142" s="29">
        <v>60</v>
      </c>
    </row>
    <row r="143" spans="1:7" x14ac:dyDescent="0.3">
      <c r="A143" s="28">
        <v>42156</v>
      </c>
      <c r="B143" s="29" t="s">
        <v>28</v>
      </c>
      <c r="C143" s="29">
        <v>30</v>
      </c>
      <c r="D143" s="29">
        <v>3.5333333333333332</v>
      </c>
      <c r="E143" s="29">
        <v>33.333333333333329</v>
      </c>
      <c r="F143" s="29">
        <v>20</v>
      </c>
      <c r="G143" s="29">
        <v>66.666666666666657</v>
      </c>
    </row>
    <row r="144" spans="1:7" x14ac:dyDescent="0.3">
      <c r="A144" s="28">
        <v>42156</v>
      </c>
      <c r="B144" s="29" t="s">
        <v>29</v>
      </c>
      <c r="C144" s="29">
        <v>460</v>
      </c>
      <c r="D144" s="29">
        <v>3.4717391304347824</v>
      </c>
      <c r="E144" s="29">
        <v>43.04347826086957</v>
      </c>
      <c r="F144" s="29">
        <v>262</v>
      </c>
      <c r="G144" s="29">
        <v>56.956521739130437</v>
      </c>
    </row>
    <row r="145" spans="1:7" x14ac:dyDescent="0.3">
      <c r="A145" s="26">
        <v>42156</v>
      </c>
      <c r="B145" s="27" t="s">
        <v>30</v>
      </c>
      <c r="C145" s="27">
        <v>591</v>
      </c>
      <c r="D145" s="27">
        <v>3.5194585448392557</v>
      </c>
      <c r="E145" s="27">
        <v>46.192893401015226</v>
      </c>
      <c r="F145" s="27">
        <v>318</v>
      </c>
      <c r="G145" s="27">
        <v>53.807106598984767</v>
      </c>
    </row>
    <row r="146" spans="1:7" x14ac:dyDescent="0.3">
      <c r="A146" s="28">
        <v>42186</v>
      </c>
      <c r="B146" s="29" t="s">
        <v>7</v>
      </c>
      <c r="C146" s="29">
        <v>68</v>
      </c>
      <c r="D146" s="29">
        <v>4.0441176470588234</v>
      </c>
      <c r="E146" s="29">
        <v>35.294117647058826</v>
      </c>
      <c r="F146" s="29">
        <v>44</v>
      </c>
      <c r="G146" s="29">
        <v>64.705882352941174</v>
      </c>
    </row>
    <row r="147" spans="1:7" x14ac:dyDescent="0.3">
      <c r="A147" s="26">
        <v>42186</v>
      </c>
      <c r="B147" s="27" t="s">
        <v>8</v>
      </c>
      <c r="C147" s="27">
        <v>25</v>
      </c>
      <c r="D147" s="27">
        <v>3.24</v>
      </c>
      <c r="E147" s="27">
        <v>56.000000000000007</v>
      </c>
      <c r="F147" s="27">
        <v>11</v>
      </c>
      <c r="G147" s="27">
        <v>44</v>
      </c>
    </row>
    <row r="148" spans="1:7" x14ac:dyDescent="0.3">
      <c r="A148" s="26">
        <v>42186</v>
      </c>
      <c r="B148" s="27" t="s">
        <v>9</v>
      </c>
      <c r="C148" s="27">
        <v>5</v>
      </c>
      <c r="D148" s="27">
        <v>2.8</v>
      </c>
      <c r="E148" s="27">
        <v>60</v>
      </c>
      <c r="F148" s="27">
        <v>2</v>
      </c>
      <c r="G148" s="27">
        <v>40</v>
      </c>
    </row>
    <row r="149" spans="1:7" x14ac:dyDescent="0.3">
      <c r="A149" s="26">
        <v>42186</v>
      </c>
      <c r="B149" s="27" t="s">
        <v>10</v>
      </c>
      <c r="C149" s="27">
        <v>412</v>
      </c>
      <c r="D149" s="27">
        <v>3.3567961165048543</v>
      </c>
      <c r="E149" s="27">
        <v>48.05825242718447</v>
      </c>
      <c r="F149" s="27">
        <v>214</v>
      </c>
      <c r="G149" s="27">
        <v>51.94174757281553</v>
      </c>
    </row>
    <row r="150" spans="1:7" x14ac:dyDescent="0.3">
      <c r="A150" s="28">
        <v>42186</v>
      </c>
      <c r="B150" s="29" t="s">
        <v>11</v>
      </c>
      <c r="C150" s="29">
        <v>381</v>
      </c>
      <c r="D150" s="29">
        <v>3.5406824146981628</v>
      </c>
      <c r="E150" s="29">
        <v>44.356955380577432</v>
      </c>
      <c r="F150" s="29">
        <v>212</v>
      </c>
      <c r="G150" s="29">
        <v>55.643044619422575</v>
      </c>
    </row>
    <row r="151" spans="1:7" x14ac:dyDescent="0.3">
      <c r="A151" s="26">
        <v>42186</v>
      </c>
      <c r="B151" s="27" t="s">
        <v>12</v>
      </c>
      <c r="C151" s="27">
        <v>748</v>
      </c>
      <c r="D151" s="27">
        <v>3.3302139037433154</v>
      </c>
      <c r="E151" s="27">
        <v>46.390374331550802</v>
      </c>
      <c r="F151" s="27">
        <v>401</v>
      </c>
      <c r="G151" s="27">
        <v>53.609625668449198</v>
      </c>
    </row>
    <row r="152" spans="1:7" x14ac:dyDescent="0.3">
      <c r="A152" s="26">
        <v>42186</v>
      </c>
      <c r="B152" s="27" t="s">
        <v>13</v>
      </c>
      <c r="C152" s="27">
        <v>119</v>
      </c>
      <c r="D152" s="27">
        <v>3.4705882352941178</v>
      </c>
      <c r="E152" s="27">
        <v>47.058823529411761</v>
      </c>
      <c r="F152" s="27">
        <v>63</v>
      </c>
      <c r="G152" s="27">
        <v>52.941176470588239</v>
      </c>
    </row>
    <row r="153" spans="1:7" x14ac:dyDescent="0.3">
      <c r="A153" s="28">
        <v>42186</v>
      </c>
      <c r="B153" s="29" t="s">
        <v>14</v>
      </c>
      <c r="C153" s="29">
        <v>515</v>
      </c>
      <c r="D153" s="29">
        <v>3.5980582524271845</v>
      </c>
      <c r="E153" s="29">
        <v>41.941747572815537</v>
      </c>
      <c r="F153" s="29">
        <v>299</v>
      </c>
      <c r="G153" s="29">
        <v>58.058252427184463</v>
      </c>
    </row>
    <row r="154" spans="1:7" x14ac:dyDescent="0.3">
      <c r="A154" s="26">
        <v>42186</v>
      </c>
      <c r="B154" s="27" t="s">
        <v>15</v>
      </c>
      <c r="C154" s="27">
        <v>6</v>
      </c>
      <c r="D154" s="27">
        <v>4.333333333333333</v>
      </c>
      <c r="E154" s="27">
        <v>50</v>
      </c>
      <c r="F154" s="27">
        <v>3</v>
      </c>
      <c r="G154" s="27">
        <v>50</v>
      </c>
    </row>
    <row r="155" spans="1:7" x14ac:dyDescent="0.3">
      <c r="A155" s="28">
        <v>42186</v>
      </c>
      <c r="B155" s="29" t="s">
        <v>16</v>
      </c>
      <c r="C155" s="29">
        <v>49</v>
      </c>
      <c r="D155" s="29">
        <v>3.7346938775510203</v>
      </c>
      <c r="E155" s="29">
        <v>36.734693877551024</v>
      </c>
      <c r="F155" s="29">
        <v>31</v>
      </c>
      <c r="G155" s="29">
        <v>63.265306122448983</v>
      </c>
    </row>
    <row r="156" spans="1:7" x14ac:dyDescent="0.3">
      <c r="A156" s="28">
        <v>42186</v>
      </c>
      <c r="B156" s="29" t="s">
        <v>17</v>
      </c>
      <c r="C156" s="29">
        <v>15</v>
      </c>
      <c r="D156" s="29">
        <v>3.1333333333333333</v>
      </c>
      <c r="E156" s="29">
        <v>20</v>
      </c>
      <c r="F156" s="29">
        <v>12</v>
      </c>
      <c r="G156" s="29">
        <v>80</v>
      </c>
    </row>
    <row r="157" spans="1:7" x14ac:dyDescent="0.3">
      <c r="A157" s="26">
        <v>42186</v>
      </c>
      <c r="B157" s="27" t="s">
        <v>18</v>
      </c>
      <c r="C157" s="27">
        <v>48</v>
      </c>
      <c r="D157" s="27">
        <v>3.5416666666666665</v>
      </c>
      <c r="E157" s="27">
        <v>47.916666666666671</v>
      </c>
      <c r="F157" s="27">
        <v>25</v>
      </c>
      <c r="G157" s="27">
        <v>52.083333333333336</v>
      </c>
    </row>
    <row r="158" spans="1:7" x14ac:dyDescent="0.3">
      <c r="A158" s="28">
        <v>42186</v>
      </c>
      <c r="B158" s="29" t="s">
        <v>19</v>
      </c>
      <c r="C158" s="29">
        <v>29</v>
      </c>
      <c r="D158" s="29">
        <v>4.0344827586206895</v>
      </c>
      <c r="E158" s="29">
        <v>41.379310344827587</v>
      </c>
      <c r="F158" s="29">
        <v>17</v>
      </c>
      <c r="G158" s="29">
        <v>58.620689655172406</v>
      </c>
    </row>
    <row r="159" spans="1:7" x14ac:dyDescent="0.3">
      <c r="A159" s="26">
        <v>42186</v>
      </c>
      <c r="B159" s="27" t="s">
        <v>20</v>
      </c>
      <c r="C159" s="27">
        <v>11</v>
      </c>
      <c r="D159" s="27">
        <v>2.7272727272727271</v>
      </c>
      <c r="E159" s="27">
        <v>54.54545454545454</v>
      </c>
      <c r="F159" s="27">
        <v>5</v>
      </c>
      <c r="G159" s="27">
        <v>45.454545454545453</v>
      </c>
    </row>
    <row r="160" spans="1:7" x14ac:dyDescent="0.3">
      <c r="A160" s="26">
        <v>42186</v>
      </c>
      <c r="B160" s="27" t="s">
        <v>21</v>
      </c>
      <c r="C160" s="27">
        <v>17</v>
      </c>
      <c r="D160" s="27">
        <v>2.5294117647058822</v>
      </c>
      <c r="E160" s="27">
        <v>52.941176470588239</v>
      </c>
      <c r="F160" s="27">
        <v>8</v>
      </c>
      <c r="G160" s="27">
        <v>47.058823529411761</v>
      </c>
    </row>
    <row r="161" spans="1:7" x14ac:dyDescent="0.3">
      <c r="A161" s="28">
        <v>42186</v>
      </c>
      <c r="B161" s="29" t="s">
        <v>22</v>
      </c>
      <c r="C161" s="29">
        <v>13</v>
      </c>
      <c r="D161" s="29">
        <v>3.7692307692307692</v>
      </c>
      <c r="E161" s="29">
        <v>38.461538461538467</v>
      </c>
      <c r="F161" s="29">
        <v>8</v>
      </c>
      <c r="G161" s="29">
        <v>61.53846153846154</v>
      </c>
    </row>
    <row r="162" spans="1:7" x14ac:dyDescent="0.3">
      <c r="A162" s="28">
        <v>42186</v>
      </c>
      <c r="B162" s="29" t="s">
        <v>23</v>
      </c>
      <c r="C162" s="29">
        <v>614</v>
      </c>
      <c r="D162" s="29">
        <v>3.3925081433224755</v>
      </c>
      <c r="E162" s="29">
        <v>43.811074918566774</v>
      </c>
      <c r="F162" s="29">
        <v>345</v>
      </c>
      <c r="G162" s="29">
        <v>56.188925081433226</v>
      </c>
    </row>
    <row r="163" spans="1:7" x14ac:dyDescent="0.3">
      <c r="A163" s="28">
        <v>42186</v>
      </c>
      <c r="B163" s="29" t="s">
        <v>24</v>
      </c>
      <c r="C163" s="29">
        <v>10</v>
      </c>
      <c r="D163" s="29">
        <v>3.6</v>
      </c>
      <c r="E163" s="29">
        <v>40</v>
      </c>
      <c r="F163" s="29">
        <v>6</v>
      </c>
      <c r="G163" s="29">
        <v>60</v>
      </c>
    </row>
    <row r="164" spans="1:7" x14ac:dyDescent="0.3">
      <c r="A164" s="28">
        <v>42186</v>
      </c>
      <c r="B164" s="29" t="s">
        <v>25</v>
      </c>
      <c r="C164" s="29">
        <v>664</v>
      </c>
      <c r="D164" s="29">
        <v>3.3298192771084336</v>
      </c>
      <c r="E164" s="29">
        <v>44.728915662650607</v>
      </c>
      <c r="F164" s="29">
        <v>367</v>
      </c>
      <c r="G164" s="29">
        <v>55.271084337349393</v>
      </c>
    </row>
    <row r="165" spans="1:7" x14ac:dyDescent="0.3">
      <c r="A165" s="26">
        <v>42186</v>
      </c>
      <c r="B165" s="27" t="s">
        <v>26</v>
      </c>
      <c r="C165" s="27">
        <v>331</v>
      </c>
      <c r="D165" s="27">
        <v>3.3836858006042294</v>
      </c>
      <c r="E165" s="27">
        <v>45.317220543806648</v>
      </c>
      <c r="F165" s="27">
        <v>181</v>
      </c>
      <c r="G165" s="27">
        <v>54.682779456193352</v>
      </c>
    </row>
    <row r="166" spans="1:7" x14ac:dyDescent="0.3">
      <c r="A166" s="28">
        <v>42186</v>
      </c>
      <c r="B166" s="29" t="s">
        <v>27</v>
      </c>
      <c r="C166" s="29">
        <v>16</v>
      </c>
      <c r="D166" s="29">
        <v>3.375</v>
      </c>
      <c r="E166" s="29">
        <v>43.75</v>
      </c>
      <c r="F166" s="29">
        <v>9</v>
      </c>
      <c r="G166" s="29">
        <v>56.25</v>
      </c>
    </row>
    <row r="167" spans="1:7" x14ac:dyDescent="0.3">
      <c r="A167" s="26">
        <v>42186</v>
      </c>
      <c r="B167" s="27" t="s">
        <v>28</v>
      </c>
      <c r="C167" s="27">
        <v>33</v>
      </c>
      <c r="D167" s="27">
        <v>3.8484848484848486</v>
      </c>
      <c r="E167" s="27">
        <v>45.454545454545453</v>
      </c>
      <c r="F167" s="27">
        <v>18</v>
      </c>
      <c r="G167" s="27">
        <v>54.54545454545454</v>
      </c>
    </row>
    <row r="168" spans="1:7" x14ac:dyDescent="0.3">
      <c r="A168" s="26">
        <v>42186</v>
      </c>
      <c r="B168" s="27" t="s">
        <v>29</v>
      </c>
      <c r="C168" s="27">
        <v>472</v>
      </c>
      <c r="D168" s="27">
        <v>3.4555084745762712</v>
      </c>
      <c r="E168" s="27">
        <v>46.398305084745758</v>
      </c>
      <c r="F168" s="27">
        <v>253</v>
      </c>
      <c r="G168" s="27">
        <v>53.601694915254242</v>
      </c>
    </row>
    <row r="169" spans="1:7" x14ac:dyDescent="0.3">
      <c r="A169" s="26">
        <v>42186</v>
      </c>
      <c r="B169" s="27" t="s">
        <v>30</v>
      </c>
      <c r="C169" s="27">
        <v>698</v>
      </c>
      <c r="D169" s="27">
        <v>3.5042979942693409</v>
      </c>
      <c r="E169" s="27">
        <v>46.704871060171918</v>
      </c>
      <c r="F169" s="27">
        <v>372</v>
      </c>
      <c r="G169" s="27">
        <v>53.295128939828082</v>
      </c>
    </row>
    <row r="170" spans="1:7" x14ac:dyDescent="0.3">
      <c r="A170" s="28">
        <v>42217</v>
      </c>
      <c r="B170" s="29" t="s">
        <v>7</v>
      </c>
      <c r="C170" s="29">
        <v>64</v>
      </c>
      <c r="D170" s="29">
        <v>3.46875</v>
      </c>
      <c r="E170" s="29">
        <v>42.1875</v>
      </c>
      <c r="F170" s="29">
        <v>37</v>
      </c>
      <c r="G170" s="29">
        <v>57.8125</v>
      </c>
    </row>
    <row r="171" spans="1:7" x14ac:dyDescent="0.3">
      <c r="A171" s="28">
        <v>42217</v>
      </c>
      <c r="B171" s="29" t="s">
        <v>8</v>
      </c>
      <c r="C171" s="29">
        <v>14</v>
      </c>
      <c r="D171" s="29">
        <v>3.8571428571428572</v>
      </c>
      <c r="E171" s="29">
        <v>28.571428571428569</v>
      </c>
      <c r="F171" s="29">
        <v>10</v>
      </c>
      <c r="G171" s="29">
        <v>71.428571428571431</v>
      </c>
    </row>
    <row r="172" spans="1:7" x14ac:dyDescent="0.3">
      <c r="A172" s="26">
        <v>42217</v>
      </c>
      <c r="B172" s="27" t="s">
        <v>9</v>
      </c>
      <c r="C172" s="27">
        <v>9</v>
      </c>
      <c r="D172" s="27">
        <v>3.2222222222222223</v>
      </c>
      <c r="E172" s="27">
        <v>66.666666666666657</v>
      </c>
      <c r="F172" s="27">
        <v>3</v>
      </c>
      <c r="G172" s="27">
        <v>33.333333333333329</v>
      </c>
    </row>
    <row r="173" spans="1:7" x14ac:dyDescent="0.3">
      <c r="A173" s="28">
        <v>42217</v>
      </c>
      <c r="B173" s="29" t="s">
        <v>10</v>
      </c>
      <c r="C173" s="29">
        <v>407</v>
      </c>
      <c r="D173" s="29">
        <v>3.5356265356265357</v>
      </c>
      <c r="E173" s="29">
        <v>43.488943488943491</v>
      </c>
      <c r="F173" s="29">
        <v>230</v>
      </c>
      <c r="G173" s="29">
        <v>56.511056511056509</v>
      </c>
    </row>
    <row r="174" spans="1:7" x14ac:dyDescent="0.3">
      <c r="A174" s="28">
        <v>42217</v>
      </c>
      <c r="B174" s="29" t="s">
        <v>11</v>
      </c>
      <c r="C174" s="29">
        <v>375</v>
      </c>
      <c r="D174" s="29">
        <v>3.3653333333333335</v>
      </c>
      <c r="E174" s="29">
        <v>42.666666666666671</v>
      </c>
      <c r="F174" s="29">
        <v>215</v>
      </c>
      <c r="G174" s="29">
        <v>57.333333333333336</v>
      </c>
    </row>
    <row r="175" spans="1:7" x14ac:dyDescent="0.3">
      <c r="A175" s="28">
        <v>42217</v>
      </c>
      <c r="B175" s="29" t="s">
        <v>12</v>
      </c>
      <c r="C175" s="29">
        <v>801</v>
      </c>
      <c r="D175" s="29">
        <v>3.3832709113607988</v>
      </c>
      <c r="E175" s="29">
        <v>44.694132334581774</v>
      </c>
      <c r="F175" s="29">
        <v>443</v>
      </c>
      <c r="G175" s="29">
        <v>55.305867665418226</v>
      </c>
    </row>
    <row r="176" spans="1:7" x14ac:dyDescent="0.3">
      <c r="A176" s="28">
        <v>42217</v>
      </c>
      <c r="B176" s="29" t="s">
        <v>13</v>
      </c>
      <c r="C176" s="29">
        <v>119</v>
      </c>
      <c r="D176" s="29">
        <v>3.6302521008403361</v>
      </c>
      <c r="E176" s="29">
        <v>43.69747899159664</v>
      </c>
      <c r="F176" s="29">
        <v>67</v>
      </c>
      <c r="G176" s="29">
        <v>56.30252100840336</v>
      </c>
    </row>
    <row r="177" spans="1:7" x14ac:dyDescent="0.3">
      <c r="A177" s="28">
        <v>42217</v>
      </c>
      <c r="B177" s="29" t="s">
        <v>14</v>
      </c>
      <c r="C177" s="29">
        <v>509</v>
      </c>
      <c r="D177" s="29">
        <v>3.3948919449901767</v>
      </c>
      <c r="E177" s="29">
        <v>42.436149312377211</v>
      </c>
      <c r="F177" s="29">
        <v>293</v>
      </c>
      <c r="G177" s="29">
        <v>57.563850687622789</v>
      </c>
    </row>
    <row r="178" spans="1:7" x14ac:dyDescent="0.3">
      <c r="A178" s="26">
        <v>42217</v>
      </c>
      <c r="B178" s="27" t="s">
        <v>15</v>
      </c>
      <c r="C178" s="27">
        <v>11</v>
      </c>
      <c r="D178" s="27">
        <v>2.4545454545454546</v>
      </c>
      <c r="E178" s="27">
        <v>54.54545454545454</v>
      </c>
      <c r="F178" s="27">
        <v>5</v>
      </c>
      <c r="G178" s="27">
        <v>45.454545454545453</v>
      </c>
    </row>
    <row r="179" spans="1:7" x14ac:dyDescent="0.3">
      <c r="A179" s="26">
        <v>42217</v>
      </c>
      <c r="B179" s="27" t="s">
        <v>16</v>
      </c>
      <c r="C179" s="27">
        <v>40</v>
      </c>
      <c r="D179" s="27">
        <v>3.4249999999999998</v>
      </c>
      <c r="E179" s="27">
        <v>52.5</v>
      </c>
      <c r="F179" s="27">
        <v>19</v>
      </c>
      <c r="G179" s="27">
        <v>47.5</v>
      </c>
    </row>
    <row r="180" spans="1:7" x14ac:dyDescent="0.3">
      <c r="A180" s="28">
        <v>42217</v>
      </c>
      <c r="B180" s="29" t="s">
        <v>17</v>
      </c>
      <c r="C180" s="29">
        <v>17</v>
      </c>
      <c r="D180" s="29">
        <v>4</v>
      </c>
      <c r="E180" s="29">
        <v>41.17647058823529</v>
      </c>
      <c r="F180" s="29">
        <v>10</v>
      </c>
      <c r="G180" s="29">
        <v>58.82352941176471</v>
      </c>
    </row>
    <row r="181" spans="1:7" x14ac:dyDescent="0.3">
      <c r="A181" s="26">
        <v>42217</v>
      </c>
      <c r="B181" s="27" t="s">
        <v>18</v>
      </c>
      <c r="C181" s="27">
        <v>63</v>
      </c>
      <c r="D181" s="27">
        <v>3.3650793650793651</v>
      </c>
      <c r="E181" s="27">
        <v>50.793650793650791</v>
      </c>
      <c r="F181" s="27">
        <v>31</v>
      </c>
      <c r="G181" s="27">
        <v>49.206349206349202</v>
      </c>
    </row>
    <row r="182" spans="1:7" x14ac:dyDescent="0.3">
      <c r="A182" s="26">
        <v>42217</v>
      </c>
      <c r="B182" s="27" t="s">
        <v>19</v>
      </c>
      <c r="C182" s="27">
        <v>23</v>
      </c>
      <c r="D182" s="27">
        <v>3.1739130434782608</v>
      </c>
      <c r="E182" s="27">
        <v>47.826086956521742</v>
      </c>
      <c r="F182" s="27">
        <v>12</v>
      </c>
      <c r="G182" s="27">
        <v>52.173913043478258</v>
      </c>
    </row>
    <row r="183" spans="1:7" x14ac:dyDescent="0.3">
      <c r="A183" s="26">
        <v>42217</v>
      </c>
      <c r="B183" s="27" t="s">
        <v>20</v>
      </c>
      <c r="C183" s="27">
        <v>9</v>
      </c>
      <c r="D183" s="27">
        <v>3.6666666666666665</v>
      </c>
      <c r="E183" s="27">
        <v>55.555555555555557</v>
      </c>
      <c r="F183" s="27">
        <v>4</v>
      </c>
      <c r="G183" s="27">
        <v>44.444444444444443</v>
      </c>
    </row>
    <row r="184" spans="1:7" x14ac:dyDescent="0.3">
      <c r="A184" s="26">
        <v>42217</v>
      </c>
      <c r="B184" s="27" t="s">
        <v>21</v>
      </c>
      <c r="C184" s="27">
        <v>27</v>
      </c>
      <c r="D184" s="27">
        <v>3.4074074074074074</v>
      </c>
      <c r="E184" s="27">
        <v>55.555555555555557</v>
      </c>
      <c r="F184" s="27">
        <v>12</v>
      </c>
      <c r="G184" s="27">
        <v>44.444444444444443</v>
      </c>
    </row>
    <row r="185" spans="1:7" x14ac:dyDescent="0.3">
      <c r="A185" s="28">
        <v>42217</v>
      </c>
      <c r="B185" s="29" t="s">
        <v>22</v>
      </c>
      <c r="C185" s="29">
        <v>20</v>
      </c>
      <c r="D185" s="29">
        <v>3.5</v>
      </c>
      <c r="E185" s="29">
        <v>35</v>
      </c>
      <c r="F185" s="29">
        <v>13</v>
      </c>
      <c r="G185" s="29">
        <v>65</v>
      </c>
    </row>
    <row r="186" spans="1:7" x14ac:dyDescent="0.3">
      <c r="A186" s="26">
        <v>42217</v>
      </c>
      <c r="B186" s="27" t="s">
        <v>23</v>
      </c>
      <c r="C186" s="27">
        <v>524</v>
      </c>
      <c r="D186" s="27">
        <v>3.4083969465648853</v>
      </c>
      <c r="E186" s="27">
        <v>45.038167938931295</v>
      </c>
      <c r="F186" s="27">
        <v>288</v>
      </c>
      <c r="G186" s="27">
        <v>54.961832061068705</v>
      </c>
    </row>
    <row r="187" spans="1:7" x14ac:dyDescent="0.3">
      <c r="A187" s="26">
        <v>42217</v>
      </c>
      <c r="B187" s="27" t="s">
        <v>24</v>
      </c>
      <c r="C187" s="27">
        <v>12</v>
      </c>
      <c r="D187" s="27">
        <v>2.4166666666666665</v>
      </c>
      <c r="E187" s="27">
        <v>75</v>
      </c>
      <c r="F187" s="27">
        <v>3</v>
      </c>
      <c r="G187" s="27">
        <v>25</v>
      </c>
    </row>
    <row r="188" spans="1:7" x14ac:dyDescent="0.3">
      <c r="A188" s="28">
        <v>42217</v>
      </c>
      <c r="B188" s="29" t="s">
        <v>25</v>
      </c>
      <c r="C188" s="29">
        <v>688</v>
      </c>
      <c r="D188" s="29">
        <v>3.4694767441860463</v>
      </c>
      <c r="E188" s="29">
        <v>43.02325581395349</v>
      </c>
      <c r="F188" s="29">
        <v>392</v>
      </c>
      <c r="G188" s="29">
        <v>56.97674418604651</v>
      </c>
    </row>
    <row r="189" spans="1:7" x14ac:dyDescent="0.3">
      <c r="A189" s="28">
        <v>42217</v>
      </c>
      <c r="B189" s="29" t="s">
        <v>26</v>
      </c>
      <c r="C189" s="29">
        <v>347</v>
      </c>
      <c r="D189" s="29">
        <v>3.5619596541786742</v>
      </c>
      <c r="E189" s="29">
        <v>43.515850144092219</v>
      </c>
      <c r="F189" s="29">
        <v>196</v>
      </c>
      <c r="G189" s="29">
        <v>56.484149855907781</v>
      </c>
    </row>
    <row r="190" spans="1:7" x14ac:dyDescent="0.3">
      <c r="A190" s="28">
        <v>42217</v>
      </c>
      <c r="B190" s="29" t="s">
        <v>27</v>
      </c>
      <c r="C190" s="29">
        <v>13</v>
      </c>
      <c r="D190" s="29">
        <v>4.3076923076923075</v>
      </c>
      <c r="E190" s="29">
        <v>23.076923076923077</v>
      </c>
      <c r="F190" s="29">
        <v>10</v>
      </c>
      <c r="G190" s="29">
        <v>76.923076923076934</v>
      </c>
    </row>
    <row r="191" spans="1:7" x14ac:dyDescent="0.3">
      <c r="A191" s="26">
        <v>42217</v>
      </c>
      <c r="B191" s="27" t="s">
        <v>28</v>
      </c>
      <c r="C191" s="27">
        <v>30</v>
      </c>
      <c r="D191" s="27">
        <v>3.7666666666666666</v>
      </c>
      <c r="E191" s="27">
        <v>50</v>
      </c>
      <c r="F191" s="27">
        <v>15</v>
      </c>
      <c r="G191" s="27">
        <v>50</v>
      </c>
    </row>
    <row r="192" spans="1:7" x14ac:dyDescent="0.3">
      <c r="A192" s="28">
        <v>42217</v>
      </c>
      <c r="B192" s="29" t="s">
        <v>29</v>
      </c>
      <c r="C192" s="29">
        <v>488</v>
      </c>
      <c r="D192" s="29">
        <v>3.4508196721311477</v>
      </c>
      <c r="E192" s="29">
        <v>44.467213114754102</v>
      </c>
      <c r="F192" s="29">
        <v>271</v>
      </c>
      <c r="G192" s="29">
        <v>55.532786885245898</v>
      </c>
    </row>
    <row r="193" spans="1:7" x14ac:dyDescent="0.3">
      <c r="A193" s="28">
        <v>42217</v>
      </c>
      <c r="B193" s="29" t="s">
        <v>30</v>
      </c>
      <c r="C193" s="29">
        <v>663</v>
      </c>
      <c r="D193" s="29">
        <v>3.4615384615384617</v>
      </c>
      <c r="E193" s="29">
        <v>44.796380090497742</v>
      </c>
      <c r="F193" s="29">
        <v>366</v>
      </c>
      <c r="G193" s="29">
        <v>55.203619909502265</v>
      </c>
    </row>
    <row r="194" spans="1:7" x14ac:dyDescent="0.3">
      <c r="A194" s="26">
        <v>42248</v>
      </c>
      <c r="B194" s="27" t="s">
        <v>7</v>
      </c>
      <c r="C194" s="27">
        <v>61</v>
      </c>
      <c r="D194" s="27">
        <v>3.3114754098360657</v>
      </c>
      <c r="E194" s="27">
        <v>50.819672131147541</v>
      </c>
      <c r="F194" s="27">
        <v>30</v>
      </c>
      <c r="G194" s="27">
        <v>49.180327868852459</v>
      </c>
    </row>
    <row r="195" spans="1:7" x14ac:dyDescent="0.3">
      <c r="A195" s="26">
        <v>42248</v>
      </c>
      <c r="B195" s="27" t="s">
        <v>8</v>
      </c>
      <c r="C195" s="27">
        <v>25</v>
      </c>
      <c r="D195" s="27">
        <v>3.28</v>
      </c>
      <c r="E195" s="27">
        <v>56.000000000000007</v>
      </c>
      <c r="F195" s="27">
        <v>11</v>
      </c>
      <c r="G195" s="27">
        <v>44</v>
      </c>
    </row>
    <row r="196" spans="1:7" x14ac:dyDescent="0.3">
      <c r="A196" s="26">
        <v>42248</v>
      </c>
      <c r="B196" s="27" t="s">
        <v>9</v>
      </c>
      <c r="C196" s="27">
        <v>9</v>
      </c>
      <c r="D196" s="27">
        <v>3.1111111111111112</v>
      </c>
      <c r="E196" s="27">
        <v>55.555555555555557</v>
      </c>
      <c r="F196" s="27">
        <v>4</v>
      </c>
      <c r="G196" s="27">
        <v>44.444444444444443</v>
      </c>
    </row>
    <row r="197" spans="1:7" x14ac:dyDescent="0.3">
      <c r="A197" s="26">
        <v>42248</v>
      </c>
      <c r="B197" s="27" t="s">
        <v>10</v>
      </c>
      <c r="C197" s="27">
        <v>436</v>
      </c>
      <c r="D197" s="27">
        <v>3.346330275229358</v>
      </c>
      <c r="E197" s="27">
        <v>47.706422018348626</v>
      </c>
      <c r="F197" s="27">
        <v>228</v>
      </c>
      <c r="G197" s="27">
        <v>52.293577981651374</v>
      </c>
    </row>
    <row r="198" spans="1:7" x14ac:dyDescent="0.3">
      <c r="A198" s="28">
        <v>42248</v>
      </c>
      <c r="B198" s="29" t="s">
        <v>11</v>
      </c>
      <c r="C198" s="29">
        <v>377</v>
      </c>
      <c r="D198" s="29">
        <v>3.5676392572944295</v>
      </c>
      <c r="E198" s="29">
        <v>43.50132625994695</v>
      </c>
      <c r="F198" s="29">
        <v>213</v>
      </c>
      <c r="G198" s="29">
        <v>56.49867374005305</v>
      </c>
    </row>
    <row r="199" spans="1:7" x14ac:dyDescent="0.3">
      <c r="A199" s="28">
        <v>42248</v>
      </c>
      <c r="B199" s="29" t="s">
        <v>12</v>
      </c>
      <c r="C199" s="29">
        <v>726</v>
      </c>
      <c r="D199" s="29">
        <v>3.4834710743801653</v>
      </c>
      <c r="E199" s="29">
        <v>42.561983471074385</v>
      </c>
      <c r="F199" s="29">
        <v>417</v>
      </c>
      <c r="G199" s="29">
        <v>57.438016528925615</v>
      </c>
    </row>
    <row r="200" spans="1:7" x14ac:dyDescent="0.3">
      <c r="A200" s="28">
        <v>42248</v>
      </c>
      <c r="B200" s="29" t="s">
        <v>13</v>
      </c>
      <c r="C200" s="29">
        <v>118</v>
      </c>
      <c r="D200" s="29">
        <v>3.4830508474576272</v>
      </c>
      <c r="E200" s="29">
        <v>40.677966101694921</v>
      </c>
      <c r="F200" s="29">
        <v>70</v>
      </c>
      <c r="G200" s="29">
        <v>59.322033898305079</v>
      </c>
    </row>
    <row r="201" spans="1:7" x14ac:dyDescent="0.3">
      <c r="A201" s="28">
        <v>42248</v>
      </c>
      <c r="B201" s="29" t="s">
        <v>14</v>
      </c>
      <c r="C201" s="29">
        <v>508</v>
      </c>
      <c r="D201" s="29">
        <v>3.5393700787401574</v>
      </c>
      <c r="E201" s="29">
        <v>38.779527559055119</v>
      </c>
      <c r="F201" s="29">
        <v>311</v>
      </c>
      <c r="G201" s="29">
        <v>61.220472440944881</v>
      </c>
    </row>
    <row r="202" spans="1:7" x14ac:dyDescent="0.3">
      <c r="A202" s="26">
        <v>42248</v>
      </c>
      <c r="B202" s="27" t="s">
        <v>15</v>
      </c>
      <c r="C202" s="27">
        <v>11</v>
      </c>
      <c r="D202" s="27">
        <v>3.4545454545454546</v>
      </c>
      <c r="E202" s="27">
        <v>54.54545454545454</v>
      </c>
      <c r="F202" s="27">
        <v>5</v>
      </c>
      <c r="G202" s="27">
        <v>45.454545454545453</v>
      </c>
    </row>
    <row r="203" spans="1:7" x14ac:dyDescent="0.3">
      <c r="A203" s="26">
        <v>42248</v>
      </c>
      <c r="B203" s="27" t="s">
        <v>16</v>
      </c>
      <c r="C203" s="27">
        <v>41</v>
      </c>
      <c r="D203" s="27">
        <v>3.6585365853658538</v>
      </c>
      <c r="E203" s="27">
        <v>56.09756097560976</v>
      </c>
      <c r="F203" s="27">
        <v>18</v>
      </c>
      <c r="G203" s="27">
        <v>43.902439024390247</v>
      </c>
    </row>
    <row r="204" spans="1:7" x14ac:dyDescent="0.3">
      <c r="A204" s="28">
        <v>42248</v>
      </c>
      <c r="B204" s="29" t="s">
        <v>17</v>
      </c>
      <c r="C204" s="29">
        <v>7</v>
      </c>
      <c r="D204" s="29">
        <v>4.5714285714285712</v>
      </c>
      <c r="E204" s="29">
        <v>28.571428571428569</v>
      </c>
      <c r="F204" s="29">
        <v>5</v>
      </c>
      <c r="G204" s="29">
        <v>71.428571428571431</v>
      </c>
    </row>
    <row r="205" spans="1:7" x14ac:dyDescent="0.3">
      <c r="A205" s="28">
        <v>42248</v>
      </c>
      <c r="B205" s="29" t="s">
        <v>18</v>
      </c>
      <c r="C205" s="29">
        <v>49</v>
      </c>
      <c r="D205" s="29">
        <v>3.6326530612244898</v>
      </c>
      <c r="E205" s="29">
        <v>40.816326530612244</v>
      </c>
      <c r="F205" s="29">
        <v>29</v>
      </c>
      <c r="G205" s="29">
        <v>59.183673469387756</v>
      </c>
    </row>
    <row r="206" spans="1:7" x14ac:dyDescent="0.3">
      <c r="A206" s="28">
        <v>42248</v>
      </c>
      <c r="B206" s="29" t="s">
        <v>19</v>
      </c>
      <c r="C206" s="29">
        <v>29</v>
      </c>
      <c r="D206" s="29">
        <v>3.6896551724137931</v>
      </c>
      <c r="E206" s="29">
        <v>34.482758620689658</v>
      </c>
      <c r="F206" s="29">
        <v>19</v>
      </c>
      <c r="G206" s="29">
        <v>65.517241379310349</v>
      </c>
    </row>
    <row r="207" spans="1:7" x14ac:dyDescent="0.3">
      <c r="A207" s="28">
        <v>42248</v>
      </c>
      <c r="B207" s="29" t="s">
        <v>20</v>
      </c>
      <c r="C207" s="29">
        <v>7</v>
      </c>
      <c r="D207" s="29">
        <v>3</v>
      </c>
      <c r="E207" s="29">
        <v>42.857142857142854</v>
      </c>
      <c r="F207" s="29">
        <v>4</v>
      </c>
      <c r="G207" s="29">
        <v>57.142857142857139</v>
      </c>
    </row>
    <row r="208" spans="1:7" x14ac:dyDescent="0.3">
      <c r="A208" s="26">
        <v>42248</v>
      </c>
      <c r="B208" s="27" t="s">
        <v>21</v>
      </c>
      <c r="C208" s="27">
        <v>19</v>
      </c>
      <c r="D208" s="27">
        <v>4.1578947368421053</v>
      </c>
      <c r="E208" s="27">
        <v>52.631578947368418</v>
      </c>
      <c r="F208" s="27">
        <v>9</v>
      </c>
      <c r="G208" s="27">
        <v>47.368421052631575</v>
      </c>
    </row>
    <row r="209" spans="1:7" x14ac:dyDescent="0.3">
      <c r="A209" s="26">
        <v>42248</v>
      </c>
      <c r="B209" s="27" t="s">
        <v>22</v>
      </c>
      <c r="C209" s="27">
        <v>12</v>
      </c>
      <c r="D209" s="27">
        <v>3.75</v>
      </c>
      <c r="E209" s="27">
        <v>50</v>
      </c>
      <c r="F209" s="27">
        <v>6</v>
      </c>
      <c r="G209" s="27">
        <v>50</v>
      </c>
    </row>
    <row r="210" spans="1:7" x14ac:dyDescent="0.3">
      <c r="A210" s="28">
        <v>42248</v>
      </c>
      <c r="B210" s="29" t="s">
        <v>23</v>
      </c>
      <c r="C210" s="29">
        <v>579</v>
      </c>
      <c r="D210" s="29">
        <v>3.5803108808290154</v>
      </c>
      <c r="E210" s="29">
        <v>40.069084628670119</v>
      </c>
      <c r="F210" s="29">
        <v>347</v>
      </c>
      <c r="G210" s="29">
        <v>59.930915371329874</v>
      </c>
    </row>
    <row r="211" spans="1:7" x14ac:dyDescent="0.3">
      <c r="A211" s="28">
        <v>42248</v>
      </c>
      <c r="B211" s="29" t="s">
        <v>24</v>
      </c>
      <c r="C211" s="29">
        <v>7</v>
      </c>
      <c r="D211" s="29">
        <v>4</v>
      </c>
      <c r="E211" s="29">
        <v>42.857142857142854</v>
      </c>
      <c r="F211" s="29">
        <v>4</v>
      </c>
      <c r="G211" s="29">
        <v>57.142857142857139</v>
      </c>
    </row>
    <row r="212" spans="1:7" x14ac:dyDescent="0.3">
      <c r="A212" s="28">
        <v>42248</v>
      </c>
      <c r="B212" s="29" t="s">
        <v>25</v>
      </c>
      <c r="C212" s="29">
        <v>678</v>
      </c>
      <c r="D212" s="29">
        <v>3.5073746312684366</v>
      </c>
      <c r="E212" s="29">
        <v>41.150442477876105</v>
      </c>
      <c r="F212" s="29">
        <v>399</v>
      </c>
      <c r="G212" s="29">
        <v>58.849557522123895</v>
      </c>
    </row>
    <row r="213" spans="1:7" x14ac:dyDescent="0.3">
      <c r="A213" s="28">
        <v>42248</v>
      </c>
      <c r="B213" s="29" t="s">
        <v>26</v>
      </c>
      <c r="C213" s="29">
        <v>335</v>
      </c>
      <c r="D213" s="29">
        <v>3.4656716417910447</v>
      </c>
      <c r="E213" s="29">
        <v>44.477611940298509</v>
      </c>
      <c r="F213" s="29">
        <v>186</v>
      </c>
      <c r="G213" s="29">
        <v>55.522388059701491</v>
      </c>
    </row>
    <row r="214" spans="1:7" x14ac:dyDescent="0.3">
      <c r="A214" s="28">
        <v>42248</v>
      </c>
      <c r="B214" s="29" t="s">
        <v>27</v>
      </c>
      <c r="C214" s="29">
        <v>13</v>
      </c>
      <c r="D214" s="29">
        <v>3.7692307692307692</v>
      </c>
      <c r="E214" s="29">
        <v>38.461538461538467</v>
      </c>
      <c r="F214" s="29">
        <v>8</v>
      </c>
      <c r="G214" s="29">
        <v>61.53846153846154</v>
      </c>
    </row>
    <row r="215" spans="1:7" x14ac:dyDescent="0.3">
      <c r="A215" s="26">
        <v>42248</v>
      </c>
      <c r="B215" s="27" t="s">
        <v>28</v>
      </c>
      <c r="C215" s="27">
        <v>23</v>
      </c>
      <c r="D215" s="27">
        <v>3.7826086956521738</v>
      </c>
      <c r="E215" s="27">
        <v>56.521739130434781</v>
      </c>
      <c r="F215" s="27">
        <v>10</v>
      </c>
      <c r="G215" s="27">
        <v>43.478260869565219</v>
      </c>
    </row>
    <row r="216" spans="1:7" x14ac:dyDescent="0.3">
      <c r="A216" s="28">
        <v>42248</v>
      </c>
      <c r="B216" s="29" t="s">
        <v>29</v>
      </c>
      <c r="C216" s="29">
        <v>436</v>
      </c>
      <c r="D216" s="29">
        <v>3.5665137614678901</v>
      </c>
      <c r="E216" s="29">
        <v>40.596330275229356</v>
      </c>
      <c r="F216" s="29">
        <v>259</v>
      </c>
      <c r="G216" s="29">
        <v>59.403669724770644</v>
      </c>
    </row>
    <row r="217" spans="1:7" x14ac:dyDescent="0.3">
      <c r="A217" s="26">
        <v>42248</v>
      </c>
      <c r="B217" s="27" t="s">
        <v>30</v>
      </c>
      <c r="C217" s="27">
        <v>634</v>
      </c>
      <c r="D217" s="27">
        <v>3.4873817034700316</v>
      </c>
      <c r="E217" s="27">
        <v>46.214511041009466</v>
      </c>
      <c r="F217" s="27">
        <v>341</v>
      </c>
      <c r="G217" s="27">
        <v>53.785488958990534</v>
      </c>
    </row>
    <row r="218" spans="1:7" x14ac:dyDescent="0.3">
      <c r="A218" s="28">
        <v>42278</v>
      </c>
      <c r="B218" s="29" t="s">
        <v>7</v>
      </c>
      <c r="C218" s="29">
        <v>67</v>
      </c>
      <c r="D218" s="29">
        <v>3.3582089552238807</v>
      </c>
      <c r="E218" s="29">
        <v>40.298507462686565</v>
      </c>
      <c r="F218" s="29">
        <v>40</v>
      </c>
      <c r="G218" s="29">
        <v>59.701492537313428</v>
      </c>
    </row>
    <row r="219" spans="1:7" x14ac:dyDescent="0.3">
      <c r="A219" s="26">
        <v>42278</v>
      </c>
      <c r="B219" s="27" t="s">
        <v>8</v>
      </c>
      <c r="C219" s="27">
        <v>14</v>
      </c>
      <c r="D219" s="27">
        <v>2.5714285714285716</v>
      </c>
      <c r="E219" s="27">
        <v>57.142857142857139</v>
      </c>
      <c r="F219" s="27">
        <v>6</v>
      </c>
      <c r="G219" s="27">
        <v>42.857142857142854</v>
      </c>
    </row>
    <row r="220" spans="1:7" x14ac:dyDescent="0.3">
      <c r="A220" s="26">
        <v>42278</v>
      </c>
      <c r="B220" s="27" t="s">
        <v>9</v>
      </c>
      <c r="C220" s="27">
        <v>13</v>
      </c>
      <c r="D220" s="27">
        <v>3.5384615384615383</v>
      </c>
      <c r="E220" s="27">
        <v>46.153846153846153</v>
      </c>
      <c r="F220" s="27">
        <v>7</v>
      </c>
      <c r="G220" s="27">
        <v>53.846153846153847</v>
      </c>
    </row>
    <row r="221" spans="1:7" x14ac:dyDescent="0.3">
      <c r="A221" s="26">
        <v>42278</v>
      </c>
      <c r="B221" s="27" t="s">
        <v>10</v>
      </c>
      <c r="C221" s="27">
        <v>428</v>
      </c>
      <c r="D221" s="27">
        <v>3.52803738317757</v>
      </c>
      <c r="E221" s="27">
        <v>47.663551401869157</v>
      </c>
      <c r="F221" s="27">
        <v>224</v>
      </c>
      <c r="G221" s="27">
        <v>52.336448598130836</v>
      </c>
    </row>
    <row r="222" spans="1:7" x14ac:dyDescent="0.3">
      <c r="A222" s="26">
        <v>42278</v>
      </c>
      <c r="B222" s="27" t="s">
        <v>11</v>
      </c>
      <c r="C222" s="27">
        <v>415</v>
      </c>
      <c r="D222" s="27">
        <v>3.2313253012048193</v>
      </c>
      <c r="E222" s="27">
        <v>48.433734939759034</v>
      </c>
      <c r="F222" s="27">
        <v>214</v>
      </c>
      <c r="G222" s="27">
        <v>51.566265060240966</v>
      </c>
    </row>
    <row r="223" spans="1:7" x14ac:dyDescent="0.3">
      <c r="A223" s="26">
        <v>42278</v>
      </c>
      <c r="B223" s="27" t="s">
        <v>12</v>
      </c>
      <c r="C223" s="27">
        <v>732</v>
      </c>
      <c r="D223" s="27">
        <v>3.4153005464480874</v>
      </c>
      <c r="E223" s="27">
        <v>46.038251366120221</v>
      </c>
      <c r="F223" s="27">
        <v>395</v>
      </c>
      <c r="G223" s="27">
        <v>53.961748633879779</v>
      </c>
    </row>
    <row r="224" spans="1:7" x14ac:dyDescent="0.3">
      <c r="A224" s="28">
        <v>42278</v>
      </c>
      <c r="B224" s="29" t="s">
        <v>13</v>
      </c>
      <c r="C224" s="29">
        <v>101</v>
      </c>
      <c r="D224" s="29">
        <v>3.6930693069306932</v>
      </c>
      <c r="E224" s="29">
        <v>33.663366336633665</v>
      </c>
      <c r="F224" s="29">
        <v>67</v>
      </c>
      <c r="G224" s="29">
        <v>66.336633663366342</v>
      </c>
    </row>
    <row r="225" spans="1:7" x14ac:dyDescent="0.3">
      <c r="A225" s="26">
        <v>42278</v>
      </c>
      <c r="B225" s="27" t="s">
        <v>14</v>
      </c>
      <c r="C225" s="27">
        <v>524</v>
      </c>
      <c r="D225" s="27">
        <v>3.4522900763358777</v>
      </c>
      <c r="E225" s="27">
        <v>45.038167938931295</v>
      </c>
      <c r="F225" s="27">
        <v>288</v>
      </c>
      <c r="G225" s="27">
        <v>54.961832061068705</v>
      </c>
    </row>
    <row r="226" spans="1:7" x14ac:dyDescent="0.3">
      <c r="A226" s="28">
        <v>42278</v>
      </c>
      <c r="B226" s="29" t="s">
        <v>15</v>
      </c>
      <c r="C226" s="29">
        <v>16</v>
      </c>
      <c r="D226" s="29">
        <v>4.625</v>
      </c>
      <c r="E226" s="29">
        <v>31.25</v>
      </c>
      <c r="F226" s="29">
        <v>11</v>
      </c>
      <c r="G226" s="29">
        <v>68.75</v>
      </c>
    </row>
    <row r="227" spans="1:7" x14ac:dyDescent="0.3">
      <c r="A227" s="28">
        <v>42278</v>
      </c>
      <c r="B227" s="29" t="s">
        <v>16</v>
      </c>
      <c r="C227" s="29">
        <v>55</v>
      </c>
      <c r="D227" s="29">
        <v>3.3454545454545452</v>
      </c>
      <c r="E227" s="29">
        <v>40</v>
      </c>
      <c r="F227" s="29">
        <v>33</v>
      </c>
      <c r="G227" s="29">
        <v>60</v>
      </c>
    </row>
    <row r="228" spans="1:7" x14ac:dyDescent="0.3">
      <c r="A228" s="26">
        <v>42278</v>
      </c>
      <c r="B228" s="27" t="s">
        <v>17</v>
      </c>
      <c r="C228" s="27">
        <v>9</v>
      </c>
      <c r="D228" s="27">
        <v>3.1111111111111112</v>
      </c>
      <c r="E228" s="27">
        <v>77.777777777777786</v>
      </c>
      <c r="F228" s="27">
        <v>2</v>
      </c>
      <c r="G228" s="27">
        <v>22.222222222222221</v>
      </c>
    </row>
    <row r="229" spans="1:7" x14ac:dyDescent="0.3">
      <c r="A229" s="26">
        <v>42278</v>
      </c>
      <c r="B229" s="27" t="s">
        <v>18</v>
      </c>
      <c r="C229" s="27">
        <v>59</v>
      </c>
      <c r="D229" s="27">
        <v>3.5762711864406778</v>
      </c>
      <c r="E229" s="27">
        <v>47.457627118644069</v>
      </c>
      <c r="F229" s="27">
        <v>31</v>
      </c>
      <c r="G229" s="27">
        <v>52.542372881355938</v>
      </c>
    </row>
    <row r="230" spans="1:7" x14ac:dyDescent="0.3">
      <c r="A230" s="26">
        <v>42278</v>
      </c>
      <c r="B230" s="27" t="s">
        <v>19</v>
      </c>
      <c r="C230" s="27">
        <v>22</v>
      </c>
      <c r="D230" s="27">
        <v>3.1818181818181817</v>
      </c>
      <c r="E230" s="27">
        <v>54.54545454545454</v>
      </c>
      <c r="F230" s="27">
        <v>10</v>
      </c>
      <c r="G230" s="27">
        <v>45.454545454545453</v>
      </c>
    </row>
    <row r="231" spans="1:7" x14ac:dyDescent="0.3">
      <c r="A231" s="26">
        <v>42278</v>
      </c>
      <c r="B231" s="27" t="s">
        <v>20</v>
      </c>
      <c r="C231" s="27">
        <v>11</v>
      </c>
      <c r="D231" s="27">
        <v>3.3636363636363638</v>
      </c>
      <c r="E231" s="27">
        <v>45.454545454545453</v>
      </c>
      <c r="F231" s="27">
        <v>6</v>
      </c>
      <c r="G231" s="27">
        <v>54.54545454545454</v>
      </c>
    </row>
    <row r="232" spans="1:7" x14ac:dyDescent="0.3">
      <c r="A232" s="26">
        <v>42278</v>
      </c>
      <c r="B232" s="27" t="s">
        <v>21</v>
      </c>
      <c r="C232" s="27">
        <v>21</v>
      </c>
      <c r="D232" s="27">
        <v>3.3809523809523809</v>
      </c>
      <c r="E232" s="27">
        <v>47.619047619047613</v>
      </c>
      <c r="F232" s="27">
        <v>11</v>
      </c>
      <c r="G232" s="27">
        <v>52.380952380952387</v>
      </c>
    </row>
    <row r="233" spans="1:7" x14ac:dyDescent="0.3">
      <c r="A233" s="26">
        <v>42278</v>
      </c>
      <c r="B233" s="27" t="s">
        <v>22</v>
      </c>
      <c r="C233" s="27">
        <v>8</v>
      </c>
      <c r="D233" s="27">
        <v>3</v>
      </c>
      <c r="E233" s="27">
        <v>50</v>
      </c>
      <c r="F233" s="27">
        <v>4</v>
      </c>
      <c r="G233" s="27">
        <v>50</v>
      </c>
    </row>
    <row r="234" spans="1:7" x14ac:dyDescent="0.3">
      <c r="A234" s="26">
        <v>42278</v>
      </c>
      <c r="B234" s="27" t="s">
        <v>23</v>
      </c>
      <c r="C234" s="27">
        <v>594</v>
      </c>
      <c r="D234" s="27">
        <v>3.4427609427609429</v>
      </c>
      <c r="E234" s="27">
        <v>47.979797979797979</v>
      </c>
      <c r="F234" s="27">
        <v>309</v>
      </c>
      <c r="G234" s="27">
        <v>52.020202020202021</v>
      </c>
    </row>
    <row r="235" spans="1:7" x14ac:dyDescent="0.3">
      <c r="A235" s="28">
        <v>42278</v>
      </c>
      <c r="B235" s="29" t="s">
        <v>24</v>
      </c>
      <c r="C235" s="29">
        <v>14</v>
      </c>
      <c r="D235" s="29">
        <v>3.6428571428571428</v>
      </c>
      <c r="E235" s="29">
        <v>35.714285714285715</v>
      </c>
      <c r="F235" s="29">
        <v>9</v>
      </c>
      <c r="G235" s="29">
        <v>64.285714285714292</v>
      </c>
    </row>
    <row r="236" spans="1:7" x14ac:dyDescent="0.3">
      <c r="A236" s="26">
        <v>42278</v>
      </c>
      <c r="B236" s="27" t="s">
        <v>25</v>
      </c>
      <c r="C236" s="27">
        <v>677</v>
      </c>
      <c r="D236" s="27">
        <v>3.4268833087149186</v>
      </c>
      <c r="E236" s="27">
        <v>47.119645494830131</v>
      </c>
      <c r="F236" s="27">
        <v>358</v>
      </c>
      <c r="G236" s="27">
        <v>52.880354505169869</v>
      </c>
    </row>
    <row r="237" spans="1:7" x14ac:dyDescent="0.3">
      <c r="A237" s="28">
        <v>42278</v>
      </c>
      <c r="B237" s="29" t="s">
        <v>26</v>
      </c>
      <c r="C237" s="29">
        <v>351</v>
      </c>
      <c r="D237" s="29">
        <v>3.5726495726495728</v>
      </c>
      <c r="E237" s="29">
        <v>40.74074074074074</v>
      </c>
      <c r="F237" s="29">
        <v>208</v>
      </c>
      <c r="G237" s="29">
        <v>59.259259259259252</v>
      </c>
    </row>
    <row r="238" spans="1:7" x14ac:dyDescent="0.3">
      <c r="A238" s="26">
        <v>42278</v>
      </c>
      <c r="B238" s="27" t="s">
        <v>27</v>
      </c>
      <c r="C238" s="27">
        <v>9</v>
      </c>
      <c r="D238" s="27">
        <v>3.4444444444444446</v>
      </c>
      <c r="E238" s="27">
        <v>55.555555555555557</v>
      </c>
      <c r="F238" s="27">
        <v>4</v>
      </c>
      <c r="G238" s="27">
        <v>44.444444444444443</v>
      </c>
    </row>
    <row r="239" spans="1:7" x14ac:dyDescent="0.3">
      <c r="A239" s="28">
        <v>42278</v>
      </c>
      <c r="B239" s="29" t="s">
        <v>28</v>
      </c>
      <c r="C239" s="29">
        <v>25</v>
      </c>
      <c r="D239" s="29">
        <v>3.4</v>
      </c>
      <c r="E239" s="29">
        <v>40</v>
      </c>
      <c r="F239" s="29">
        <v>15</v>
      </c>
      <c r="G239" s="29">
        <v>60</v>
      </c>
    </row>
    <row r="240" spans="1:7" x14ac:dyDescent="0.3">
      <c r="A240" s="26">
        <v>42278</v>
      </c>
      <c r="B240" s="27" t="s">
        <v>29</v>
      </c>
      <c r="C240" s="27">
        <v>484</v>
      </c>
      <c r="D240" s="27">
        <v>3.4132231404958677</v>
      </c>
      <c r="E240" s="27">
        <v>46.280991735537192</v>
      </c>
      <c r="F240" s="27">
        <v>260</v>
      </c>
      <c r="G240" s="27">
        <v>53.719008264462808</v>
      </c>
    </row>
    <row r="241" spans="1:7" x14ac:dyDescent="0.3">
      <c r="A241" s="26">
        <v>42278</v>
      </c>
      <c r="B241" s="27" t="s">
        <v>30</v>
      </c>
      <c r="C241" s="27">
        <v>653</v>
      </c>
      <c r="D241" s="27">
        <v>3.4992343032159265</v>
      </c>
      <c r="E241" s="27">
        <v>45.176110260336905</v>
      </c>
      <c r="F241" s="27">
        <v>358</v>
      </c>
      <c r="G241" s="27">
        <v>54.823889739663088</v>
      </c>
    </row>
    <row r="242" spans="1:7" x14ac:dyDescent="0.3">
      <c r="A242" s="28">
        <v>42309</v>
      </c>
      <c r="B242" s="29" t="s">
        <v>7</v>
      </c>
      <c r="C242" s="29">
        <v>74</v>
      </c>
      <c r="D242" s="29">
        <v>3.6486486486486487</v>
      </c>
      <c r="E242" s="29">
        <v>35.135135135135137</v>
      </c>
      <c r="F242" s="29">
        <v>48</v>
      </c>
      <c r="G242" s="29">
        <v>64.86486486486487</v>
      </c>
    </row>
    <row r="243" spans="1:7" x14ac:dyDescent="0.3">
      <c r="A243" s="28">
        <v>42309</v>
      </c>
      <c r="B243" s="29" t="s">
        <v>8</v>
      </c>
      <c r="C243" s="29">
        <v>19</v>
      </c>
      <c r="D243" s="29">
        <v>4.0526315789473681</v>
      </c>
      <c r="E243" s="29">
        <v>42.105263157894733</v>
      </c>
      <c r="F243" s="29">
        <v>11</v>
      </c>
      <c r="G243" s="29">
        <v>57.894736842105267</v>
      </c>
    </row>
    <row r="244" spans="1:7" x14ac:dyDescent="0.3">
      <c r="A244" s="28">
        <v>42309</v>
      </c>
      <c r="B244" s="29" t="s">
        <v>9</v>
      </c>
      <c r="C244" s="29">
        <v>11</v>
      </c>
      <c r="D244" s="29">
        <v>4.2727272727272725</v>
      </c>
      <c r="E244" s="29">
        <v>36.363636363636367</v>
      </c>
      <c r="F244" s="29">
        <v>7</v>
      </c>
      <c r="G244" s="29">
        <v>63.636363636363633</v>
      </c>
    </row>
    <row r="245" spans="1:7" x14ac:dyDescent="0.3">
      <c r="A245" s="28">
        <v>42309</v>
      </c>
      <c r="B245" s="29" t="s">
        <v>10</v>
      </c>
      <c r="C245" s="29">
        <v>430</v>
      </c>
      <c r="D245" s="29">
        <v>3.5627906976744188</v>
      </c>
      <c r="E245" s="29">
        <v>42.558139534883722</v>
      </c>
      <c r="F245" s="29">
        <v>247</v>
      </c>
      <c r="G245" s="29">
        <v>57.441860465116278</v>
      </c>
    </row>
    <row r="246" spans="1:7" x14ac:dyDescent="0.3">
      <c r="A246" s="26">
        <v>42309</v>
      </c>
      <c r="B246" s="27" t="s">
        <v>11</v>
      </c>
      <c r="C246" s="27">
        <v>367</v>
      </c>
      <c r="D246" s="27">
        <v>3.4550408719346049</v>
      </c>
      <c r="E246" s="27">
        <v>46.866485013623979</v>
      </c>
      <c r="F246" s="27">
        <v>195</v>
      </c>
      <c r="G246" s="27">
        <v>53.133514986376021</v>
      </c>
    </row>
    <row r="247" spans="1:7" x14ac:dyDescent="0.3">
      <c r="A247" s="26">
        <v>42309</v>
      </c>
      <c r="B247" s="27" t="s">
        <v>12</v>
      </c>
      <c r="C247" s="27">
        <v>733</v>
      </c>
      <c r="D247" s="27">
        <v>3.499317871759891</v>
      </c>
      <c r="E247" s="27">
        <v>46.1118690313779</v>
      </c>
      <c r="F247" s="27">
        <v>395</v>
      </c>
      <c r="G247" s="27">
        <v>53.888130968622107</v>
      </c>
    </row>
    <row r="248" spans="1:7" x14ac:dyDescent="0.3">
      <c r="A248" s="28">
        <v>42309</v>
      </c>
      <c r="B248" s="29" t="s">
        <v>13</v>
      </c>
      <c r="C248" s="29">
        <v>137</v>
      </c>
      <c r="D248" s="29">
        <v>3.7372262773722627</v>
      </c>
      <c r="E248" s="29">
        <v>37.956204379562038</v>
      </c>
      <c r="F248" s="29">
        <v>85</v>
      </c>
      <c r="G248" s="29">
        <v>62.043795620437962</v>
      </c>
    </row>
    <row r="249" spans="1:7" x14ac:dyDescent="0.3">
      <c r="A249" s="28">
        <v>42309</v>
      </c>
      <c r="B249" s="29" t="s">
        <v>14</v>
      </c>
      <c r="C249" s="29">
        <v>539</v>
      </c>
      <c r="D249" s="29">
        <v>3.5714285714285716</v>
      </c>
      <c r="E249" s="29">
        <v>44.155844155844157</v>
      </c>
      <c r="F249" s="29">
        <v>301</v>
      </c>
      <c r="G249" s="29">
        <v>55.844155844155843</v>
      </c>
    </row>
    <row r="250" spans="1:7" x14ac:dyDescent="0.3">
      <c r="A250" s="28">
        <v>42309</v>
      </c>
      <c r="B250" s="29" t="s">
        <v>15</v>
      </c>
      <c r="C250" s="29">
        <v>15</v>
      </c>
      <c r="D250" s="29">
        <v>3.6666666666666665</v>
      </c>
      <c r="E250" s="29">
        <v>40</v>
      </c>
      <c r="F250" s="29">
        <v>9</v>
      </c>
      <c r="G250" s="29">
        <v>60</v>
      </c>
    </row>
    <row r="251" spans="1:7" x14ac:dyDescent="0.3">
      <c r="A251" s="26">
        <v>42309</v>
      </c>
      <c r="B251" s="27" t="s">
        <v>16</v>
      </c>
      <c r="C251" s="27">
        <v>36</v>
      </c>
      <c r="D251" s="27">
        <v>3.1944444444444446</v>
      </c>
      <c r="E251" s="27">
        <v>47.222222222222221</v>
      </c>
      <c r="F251" s="27">
        <v>19</v>
      </c>
      <c r="G251" s="27">
        <v>52.777777777777779</v>
      </c>
    </row>
    <row r="252" spans="1:7" x14ac:dyDescent="0.3">
      <c r="A252" s="28">
        <v>42309</v>
      </c>
      <c r="B252" s="29" t="s">
        <v>17</v>
      </c>
      <c r="C252" s="29">
        <v>12</v>
      </c>
      <c r="D252" s="29">
        <v>4.416666666666667</v>
      </c>
      <c r="E252" s="29">
        <v>25</v>
      </c>
      <c r="F252" s="29">
        <v>9</v>
      </c>
      <c r="G252" s="29">
        <v>75</v>
      </c>
    </row>
    <row r="253" spans="1:7" x14ac:dyDescent="0.3">
      <c r="A253" s="28">
        <v>42309</v>
      </c>
      <c r="B253" s="29" t="s">
        <v>18</v>
      </c>
      <c r="C253" s="29">
        <v>60</v>
      </c>
      <c r="D253" s="29">
        <v>3.55</v>
      </c>
      <c r="E253" s="29">
        <v>40</v>
      </c>
      <c r="F253" s="29">
        <v>36</v>
      </c>
      <c r="G253" s="29">
        <v>60</v>
      </c>
    </row>
    <row r="254" spans="1:7" x14ac:dyDescent="0.3">
      <c r="A254" s="26">
        <v>42309</v>
      </c>
      <c r="B254" s="27" t="s">
        <v>19</v>
      </c>
      <c r="C254" s="27">
        <v>44</v>
      </c>
      <c r="D254" s="27">
        <v>3.5681818181818183</v>
      </c>
      <c r="E254" s="27">
        <v>47.727272727272727</v>
      </c>
      <c r="F254" s="27">
        <v>23</v>
      </c>
      <c r="G254" s="27">
        <v>52.272727272727273</v>
      </c>
    </row>
    <row r="255" spans="1:7" x14ac:dyDescent="0.3">
      <c r="A255" s="28">
        <v>42309</v>
      </c>
      <c r="B255" s="29" t="s">
        <v>20</v>
      </c>
      <c r="C255" s="29">
        <v>9</v>
      </c>
      <c r="D255" s="29">
        <v>3.8888888888888888</v>
      </c>
      <c r="E255" s="29">
        <v>22.222222222222221</v>
      </c>
      <c r="F255" s="29">
        <v>7</v>
      </c>
      <c r="G255" s="29">
        <v>77.777777777777786</v>
      </c>
    </row>
    <row r="256" spans="1:7" x14ac:dyDescent="0.3">
      <c r="A256" s="28">
        <v>42309</v>
      </c>
      <c r="B256" s="29" t="s">
        <v>21</v>
      </c>
      <c r="C256" s="29">
        <v>20</v>
      </c>
      <c r="D256" s="29">
        <v>3.7</v>
      </c>
      <c r="E256" s="29">
        <v>40</v>
      </c>
      <c r="F256" s="29">
        <v>12</v>
      </c>
      <c r="G256" s="29">
        <v>60</v>
      </c>
    </row>
    <row r="257" spans="1:7" x14ac:dyDescent="0.3">
      <c r="A257" s="26">
        <v>42309</v>
      </c>
      <c r="B257" s="27" t="s">
        <v>22</v>
      </c>
      <c r="C257" s="27">
        <v>16</v>
      </c>
      <c r="D257" s="27">
        <v>3.6875</v>
      </c>
      <c r="E257" s="27">
        <v>50</v>
      </c>
      <c r="F257" s="27">
        <v>8</v>
      </c>
      <c r="G257" s="27">
        <v>50</v>
      </c>
    </row>
    <row r="258" spans="1:7" x14ac:dyDescent="0.3">
      <c r="A258" s="26">
        <v>42309</v>
      </c>
      <c r="B258" s="27" t="s">
        <v>23</v>
      </c>
      <c r="C258" s="27">
        <v>601</v>
      </c>
      <c r="D258" s="27">
        <v>3.415973377703827</v>
      </c>
      <c r="E258" s="27">
        <v>46.422628951747086</v>
      </c>
      <c r="F258" s="27">
        <v>322</v>
      </c>
      <c r="G258" s="27">
        <v>53.577371048252907</v>
      </c>
    </row>
    <row r="259" spans="1:7" x14ac:dyDescent="0.3">
      <c r="A259" s="28">
        <v>42309</v>
      </c>
      <c r="B259" s="29" t="s">
        <v>24</v>
      </c>
      <c r="C259" s="29">
        <v>6</v>
      </c>
      <c r="D259" s="29">
        <v>3.8333333333333335</v>
      </c>
      <c r="E259" s="29">
        <v>16.666666666666664</v>
      </c>
      <c r="F259" s="29">
        <v>5</v>
      </c>
      <c r="G259" s="29">
        <v>83.333333333333343</v>
      </c>
    </row>
    <row r="260" spans="1:7" x14ac:dyDescent="0.3">
      <c r="A260" s="26">
        <v>42309</v>
      </c>
      <c r="B260" s="27" t="s">
        <v>25</v>
      </c>
      <c r="C260" s="27">
        <v>661</v>
      </c>
      <c r="D260" s="27">
        <v>3.4478063540090771</v>
      </c>
      <c r="E260" s="27">
        <v>47.049924357034797</v>
      </c>
      <c r="F260" s="27">
        <v>350</v>
      </c>
      <c r="G260" s="27">
        <v>52.950075642965203</v>
      </c>
    </row>
    <row r="261" spans="1:7" x14ac:dyDescent="0.3">
      <c r="A261" s="26">
        <v>42309</v>
      </c>
      <c r="B261" s="27" t="s">
        <v>26</v>
      </c>
      <c r="C261" s="27">
        <v>356</v>
      </c>
      <c r="D261" s="27">
        <v>3.5</v>
      </c>
      <c r="E261" s="27">
        <v>46.348314606741575</v>
      </c>
      <c r="F261" s="27">
        <v>191</v>
      </c>
      <c r="G261" s="27">
        <v>53.651685393258433</v>
      </c>
    </row>
    <row r="262" spans="1:7" x14ac:dyDescent="0.3">
      <c r="A262" s="26">
        <v>42309</v>
      </c>
      <c r="B262" s="27" t="s">
        <v>27</v>
      </c>
      <c r="C262" s="27">
        <v>10</v>
      </c>
      <c r="D262" s="27">
        <v>3.3</v>
      </c>
      <c r="E262" s="27">
        <v>60</v>
      </c>
      <c r="F262" s="27">
        <v>4</v>
      </c>
      <c r="G262" s="27">
        <v>40</v>
      </c>
    </row>
    <row r="263" spans="1:7" x14ac:dyDescent="0.3">
      <c r="A263" s="26">
        <v>42309</v>
      </c>
      <c r="B263" s="27" t="s">
        <v>28</v>
      </c>
      <c r="C263" s="27">
        <v>33</v>
      </c>
      <c r="D263" s="27">
        <v>3.2424242424242422</v>
      </c>
      <c r="E263" s="27">
        <v>60.606060606060609</v>
      </c>
      <c r="F263" s="27">
        <v>13</v>
      </c>
      <c r="G263" s="27">
        <v>39.393939393939391</v>
      </c>
    </row>
    <row r="264" spans="1:7" x14ac:dyDescent="0.3">
      <c r="A264" s="26">
        <v>42309</v>
      </c>
      <c r="B264" s="27" t="s">
        <v>29</v>
      </c>
      <c r="C264" s="27">
        <v>464</v>
      </c>
      <c r="D264" s="27">
        <v>3.4978448275862069</v>
      </c>
      <c r="E264" s="27">
        <v>45.258620689655174</v>
      </c>
      <c r="F264" s="27">
        <v>254</v>
      </c>
      <c r="G264" s="27">
        <v>54.741379310344826</v>
      </c>
    </row>
    <row r="265" spans="1:7" x14ac:dyDescent="0.3">
      <c r="A265" s="26">
        <v>42309</v>
      </c>
      <c r="B265" s="27" t="s">
        <v>30</v>
      </c>
      <c r="C265" s="27">
        <v>582</v>
      </c>
      <c r="D265" s="27">
        <v>3.3470790378006874</v>
      </c>
      <c r="E265" s="27">
        <v>49.656357388316152</v>
      </c>
      <c r="F265" s="27">
        <v>293</v>
      </c>
      <c r="G265" s="27">
        <v>50.343642611683848</v>
      </c>
    </row>
    <row r="266" spans="1:7" x14ac:dyDescent="0.3">
      <c r="A266" s="28">
        <v>42339</v>
      </c>
      <c r="B266" s="29" t="s">
        <v>7</v>
      </c>
      <c r="C266" s="29">
        <v>60</v>
      </c>
      <c r="D266" s="29">
        <v>3.5</v>
      </c>
      <c r="E266" s="29">
        <v>40</v>
      </c>
      <c r="F266" s="29">
        <v>36</v>
      </c>
      <c r="G266" s="29">
        <v>60</v>
      </c>
    </row>
    <row r="267" spans="1:7" x14ac:dyDescent="0.3">
      <c r="A267" s="26">
        <v>42339</v>
      </c>
      <c r="B267" s="27" t="s">
        <v>8</v>
      </c>
      <c r="C267" s="27">
        <v>25</v>
      </c>
      <c r="D267" s="27">
        <v>2.68</v>
      </c>
      <c r="E267" s="27">
        <v>72</v>
      </c>
      <c r="F267" s="27">
        <v>7</v>
      </c>
      <c r="G267" s="27">
        <v>28.000000000000004</v>
      </c>
    </row>
    <row r="268" spans="1:7" x14ac:dyDescent="0.3">
      <c r="A268" s="26">
        <v>42339</v>
      </c>
      <c r="B268" s="27" t="s">
        <v>9</v>
      </c>
      <c r="C268" s="27">
        <v>13</v>
      </c>
      <c r="D268" s="27">
        <v>3.3076923076923075</v>
      </c>
      <c r="E268" s="27">
        <v>46.153846153846153</v>
      </c>
      <c r="F268" s="27">
        <v>7</v>
      </c>
      <c r="G268" s="27">
        <v>53.846153846153847</v>
      </c>
    </row>
    <row r="269" spans="1:7" x14ac:dyDescent="0.3">
      <c r="A269" s="28">
        <v>42339</v>
      </c>
      <c r="B269" s="29" t="s">
        <v>10</v>
      </c>
      <c r="C269" s="29">
        <v>389</v>
      </c>
      <c r="D269" s="29">
        <v>3.5552699228791775</v>
      </c>
      <c r="E269" s="29">
        <v>43.70179948586118</v>
      </c>
      <c r="F269" s="29">
        <v>219</v>
      </c>
      <c r="G269" s="29">
        <v>56.29820051413882</v>
      </c>
    </row>
    <row r="270" spans="1:7" x14ac:dyDescent="0.3">
      <c r="A270" s="26">
        <v>42339</v>
      </c>
      <c r="B270" s="27" t="s">
        <v>11</v>
      </c>
      <c r="C270" s="27">
        <v>375</v>
      </c>
      <c r="D270" s="27">
        <v>3.2506666666666666</v>
      </c>
      <c r="E270" s="27">
        <v>48.266666666666666</v>
      </c>
      <c r="F270" s="27">
        <v>194</v>
      </c>
      <c r="G270" s="27">
        <v>51.733333333333334</v>
      </c>
    </row>
    <row r="271" spans="1:7" x14ac:dyDescent="0.3">
      <c r="A271" s="28">
        <v>42339</v>
      </c>
      <c r="B271" s="29" t="s">
        <v>12</v>
      </c>
      <c r="C271" s="29">
        <v>742</v>
      </c>
      <c r="D271" s="29">
        <v>3.4299191374663072</v>
      </c>
      <c r="E271" s="29">
        <v>42.991913746630729</v>
      </c>
      <c r="F271" s="29">
        <v>423</v>
      </c>
      <c r="G271" s="29">
        <v>57.008086253369271</v>
      </c>
    </row>
    <row r="272" spans="1:7" x14ac:dyDescent="0.3">
      <c r="A272" s="28">
        <v>42339</v>
      </c>
      <c r="B272" s="29" t="s">
        <v>13</v>
      </c>
      <c r="C272" s="29">
        <v>140</v>
      </c>
      <c r="D272" s="29">
        <v>3.3357142857142859</v>
      </c>
      <c r="E272" s="29">
        <v>44.285714285714285</v>
      </c>
      <c r="F272" s="29">
        <v>78</v>
      </c>
      <c r="G272" s="29">
        <v>55.714285714285715</v>
      </c>
    </row>
    <row r="273" spans="1:7" x14ac:dyDescent="0.3">
      <c r="A273" s="28">
        <v>42339</v>
      </c>
      <c r="B273" s="29" t="s">
        <v>14</v>
      </c>
      <c r="C273" s="29">
        <v>560</v>
      </c>
      <c r="D273" s="29">
        <v>3.4946428571428569</v>
      </c>
      <c r="E273" s="29">
        <v>43.928571428571431</v>
      </c>
      <c r="F273" s="29">
        <v>314</v>
      </c>
      <c r="G273" s="29">
        <v>56.071428571428569</v>
      </c>
    </row>
    <row r="274" spans="1:7" x14ac:dyDescent="0.3">
      <c r="A274" s="26">
        <v>42339</v>
      </c>
      <c r="B274" s="27" t="s">
        <v>15</v>
      </c>
      <c r="C274" s="27">
        <v>11</v>
      </c>
      <c r="D274" s="27">
        <v>3.4545454545454546</v>
      </c>
      <c r="E274" s="27">
        <v>63.636363636363633</v>
      </c>
      <c r="F274" s="27">
        <v>4</v>
      </c>
      <c r="G274" s="27">
        <v>36.363636363636367</v>
      </c>
    </row>
    <row r="275" spans="1:7" x14ac:dyDescent="0.3">
      <c r="A275" s="28">
        <v>42339</v>
      </c>
      <c r="B275" s="29" t="s">
        <v>16</v>
      </c>
      <c r="C275" s="29">
        <v>43</v>
      </c>
      <c r="D275" s="29">
        <v>3.4186046511627906</v>
      </c>
      <c r="E275" s="29">
        <v>30.232558139534881</v>
      </c>
      <c r="F275" s="29">
        <v>30</v>
      </c>
      <c r="G275" s="29">
        <v>69.767441860465112</v>
      </c>
    </row>
    <row r="276" spans="1:7" x14ac:dyDescent="0.3">
      <c r="A276" s="26">
        <v>42339</v>
      </c>
      <c r="B276" s="27" t="s">
        <v>17</v>
      </c>
      <c r="C276" s="27">
        <v>14</v>
      </c>
      <c r="D276" s="27">
        <v>3.1428571428571428</v>
      </c>
      <c r="E276" s="27">
        <v>57.142857142857139</v>
      </c>
      <c r="F276" s="27">
        <v>6</v>
      </c>
      <c r="G276" s="27">
        <v>42.857142857142854</v>
      </c>
    </row>
    <row r="277" spans="1:7" x14ac:dyDescent="0.3">
      <c r="A277" s="26">
        <v>42339</v>
      </c>
      <c r="B277" s="27" t="s">
        <v>18</v>
      </c>
      <c r="C277" s="27">
        <v>56</v>
      </c>
      <c r="D277" s="27">
        <v>3.3214285714285716</v>
      </c>
      <c r="E277" s="27">
        <v>50</v>
      </c>
      <c r="F277" s="27">
        <v>28</v>
      </c>
      <c r="G277" s="27">
        <v>50</v>
      </c>
    </row>
    <row r="278" spans="1:7" x14ac:dyDescent="0.3">
      <c r="A278" s="26">
        <v>42339</v>
      </c>
      <c r="B278" s="27" t="s">
        <v>19</v>
      </c>
      <c r="C278" s="27">
        <v>27</v>
      </c>
      <c r="D278" s="27">
        <v>3.2222222222222223</v>
      </c>
      <c r="E278" s="27">
        <v>55.555555555555557</v>
      </c>
      <c r="F278" s="27">
        <v>12</v>
      </c>
      <c r="G278" s="27">
        <v>44.444444444444443</v>
      </c>
    </row>
    <row r="279" spans="1:7" x14ac:dyDescent="0.3">
      <c r="A279" s="28">
        <v>42339</v>
      </c>
      <c r="B279" s="29" t="s">
        <v>20</v>
      </c>
      <c r="C279" s="29">
        <v>12</v>
      </c>
      <c r="D279" s="29">
        <v>4.083333333333333</v>
      </c>
      <c r="E279" s="29">
        <v>33.333333333333329</v>
      </c>
      <c r="F279" s="29">
        <v>8</v>
      </c>
      <c r="G279" s="29">
        <v>66.666666666666657</v>
      </c>
    </row>
    <row r="280" spans="1:7" x14ac:dyDescent="0.3">
      <c r="A280" s="28">
        <v>42339</v>
      </c>
      <c r="B280" s="29" t="s">
        <v>21</v>
      </c>
      <c r="C280" s="29">
        <v>29</v>
      </c>
      <c r="D280" s="29">
        <v>3.4827586206896552</v>
      </c>
      <c r="E280" s="29">
        <v>34.482758620689658</v>
      </c>
      <c r="F280" s="29">
        <v>19</v>
      </c>
      <c r="G280" s="29">
        <v>65.517241379310349</v>
      </c>
    </row>
    <row r="281" spans="1:7" x14ac:dyDescent="0.3">
      <c r="A281" s="28">
        <v>42339</v>
      </c>
      <c r="B281" s="29" t="s">
        <v>22</v>
      </c>
      <c r="C281" s="29">
        <v>7</v>
      </c>
      <c r="D281" s="29">
        <v>4</v>
      </c>
      <c r="E281" s="29">
        <v>28.571428571428569</v>
      </c>
      <c r="F281" s="29">
        <v>5</v>
      </c>
      <c r="G281" s="29">
        <v>71.428571428571431</v>
      </c>
    </row>
    <row r="282" spans="1:7" x14ac:dyDescent="0.3">
      <c r="A282" s="26">
        <v>42339</v>
      </c>
      <c r="B282" s="27" t="s">
        <v>23</v>
      </c>
      <c r="C282" s="27">
        <v>628</v>
      </c>
      <c r="D282" s="27">
        <v>3.3519108280254777</v>
      </c>
      <c r="E282" s="27">
        <v>50</v>
      </c>
      <c r="F282" s="27">
        <v>314</v>
      </c>
      <c r="G282" s="27">
        <v>50</v>
      </c>
    </row>
    <row r="283" spans="1:7" x14ac:dyDescent="0.3">
      <c r="A283" s="28">
        <v>42339</v>
      </c>
      <c r="B283" s="29" t="s">
        <v>24</v>
      </c>
      <c r="C283" s="29">
        <v>10</v>
      </c>
      <c r="D283" s="29">
        <v>3.2</v>
      </c>
      <c r="E283" s="29">
        <v>20</v>
      </c>
      <c r="F283" s="29">
        <v>8</v>
      </c>
      <c r="G283" s="29">
        <v>80</v>
      </c>
    </row>
    <row r="284" spans="1:7" x14ac:dyDescent="0.3">
      <c r="A284" s="28">
        <v>42339</v>
      </c>
      <c r="B284" s="29" t="s">
        <v>25</v>
      </c>
      <c r="C284" s="29">
        <v>721</v>
      </c>
      <c r="D284" s="29">
        <v>3.4493758668515948</v>
      </c>
      <c r="E284" s="29">
        <v>44.382801664355064</v>
      </c>
      <c r="F284" s="29">
        <v>401</v>
      </c>
      <c r="G284" s="29">
        <v>55.617198335644936</v>
      </c>
    </row>
    <row r="285" spans="1:7" x14ac:dyDescent="0.3">
      <c r="A285" s="26">
        <v>42339</v>
      </c>
      <c r="B285" s="27" t="s">
        <v>26</v>
      </c>
      <c r="C285" s="27">
        <v>348</v>
      </c>
      <c r="D285" s="27">
        <v>3.4339080459770117</v>
      </c>
      <c r="E285" s="27">
        <v>47.126436781609193</v>
      </c>
      <c r="F285" s="27">
        <v>184</v>
      </c>
      <c r="G285" s="27">
        <v>52.873563218390807</v>
      </c>
    </row>
    <row r="286" spans="1:7" x14ac:dyDescent="0.3">
      <c r="A286" s="28">
        <v>42339</v>
      </c>
      <c r="B286" s="29" t="s">
        <v>27</v>
      </c>
      <c r="C286" s="29">
        <v>14</v>
      </c>
      <c r="D286" s="29">
        <v>4</v>
      </c>
      <c r="E286" s="29">
        <v>42.857142857142854</v>
      </c>
      <c r="F286" s="29">
        <v>8</v>
      </c>
      <c r="G286" s="29">
        <v>57.142857142857139</v>
      </c>
    </row>
    <row r="287" spans="1:7" x14ac:dyDescent="0.3">
      <c r="A287" s="28">
        <v>42339</v>
      </c>
      <c r="B287" s="29" t="s">
        <v>28</v>
      </c>
      <c r="C287" s="29">
        <v>40</v>
      </c>
      <c r="D287" s="29">
        <v>3.6</v>
      </c>
      <c r="E287" s="29">
        <v>42.5</v>
      </c>
      <c r="F287" s="29">
        <v>23</v>
      </c>
      <c r="G287" s="29">
        <v>57.499999999999993</v>
      </c>
    </row>
    <row r="288" spans="1:7" x14ac:dyDescent="0.3">
      <c r="A288" s="28">
        <v>42339</v>
      </c>
      <c r="B288" s="29" t="s">
        <v>29</v>
      </c>
      <c r="C288" s="29">
        <v>498</v>
      </c>
      <c r="D288" s="29">
        <v>3.4698795180722892</v>
      </c>
      <c r="E288" s="29">
        <v>42.570281124497996</v>
      </c>
      <c r="F288" s="29">
        <v>286</v>
      </c>
      <c r="G288" s="29">
        <v>57.429718875502012</v>
      </c>
    </row>
    <row r="289" spans="1:7" x14ac:dyDescent="0.3">
      <c r="A289" s="28">
        <v>42339</v>
      </c>
      <c r="B289" s="29" t="s">
        <v>30</v>
      </c>
      <c r="C289" s="29">
        <v>609</v>
      </c>
      <c r="D289" s="29">
        <v>3.5582922824302137</v>
      </c>
      <c r="E289" s="29">
        <v>44.006568144499184</v>
      </c>
      <c r="F289" s="29">
        <v>341</v>
      </c>
      <c r="G289" s="29">
        <v>55.993431855500816</v>
      </c>
    </row>
    <row r="290" spans="1:7" x14ac:dyDescent="0.3">
      <c r="A290" s="28">
        <v>42370</v>
      </c>
      <c r="B290" s="29" t="s">
        <v>7</v>
      </c>
      <c r="C290" s="29">
        <v>64</v>
      </c>
      <c r="D290" s="29">
        <v>2.9375</v>
      </c>
      <c r="E290" s="29">
        <v>42.1875</v>
      </c>
      <c r="F290" s="29">
        <v>37</v>
      </c>
      <c r="G290" s="29">
        <v>57.8125</v>
      </c>
    </row>
    <row r="291" spans="1:7" x14ac:dyDescent="0.3">
      <c r="A291" s="28">
        <v>42370</v>
      </c>
      <c r="B291" s="29" t="s">
        <v>8</v>
      </c>
      <c r="C291" s="29">
        <v>16</v>
      </c>
      <c r="D291" s="29">
        <v>3.75</v>
      </c>
      <c r="E291" s="29">
        <v>37.5</v>
      </c>
      <c r="F291" s="29">
        <v>10</v>
      </c>
      <c r="G291" s="29">
        <v>62.5</v>
      </c>
    </row>
    <row r="292" spans="1:7" x14ac:dyDescent="0.3">
      <c r="A292" s="26">
        <v>42370</v>
      </c>
      <c r="B292" s="27" t="s">
        <v>9</v>
      </c>
      <c r="C292" s="27">
        <v>10</v>
      </c>
      <c r="D292" s="27">
        <v>4</v>
      </c>
      <c r="E292" s="27">
        <v>50</v>
      </c>
      <c r="F292" s="27">
        <v>5</v>
      </c>
      <c r="G292" s="27">
        <v>50</v>
      </c>
    </row>
    <row r="293" spans="1:7" x14ac:dyDescent="0.3">
      <c r="A293" s="28">
        <v>42370</v>
      </c>
      <c r="B293" s="29" t="s">
        <v>10</v>
      </c>
      <c r="C293" s="29">
        <v>416</v>
      </c>
      <c r="D293" s="29">
        <v>3.4855769230769229</v>
      </c>
      <c r="E293" s="29">
        <v>41.82692307692308</v>
      </c>
      <c r="F293" s="29">
        <v>242</v>
      </c>
      <c r="G293" s="29">
        <v>58.173076923076927</v>
      </c>
    </row>
    <row r="294" spans="1:7" x14ac:dyDescent="0.3">
      <c r="A294" s="28">
        <v>42370</v>
      </c>
      <c r="B294" s="29" t="s">
        <v>11</v>
      </c>
      <c r="C294" s="29">
        <v>402</v>
      </c>
      <c r="D294" s="29">
        <v>3.5920398009950247</v>
      </c>
      <c r="E294" s="29">
        <v>41.293532338308459</v>
      </c>
      <c r="F294" s="29">
        <v>236</v>
      </c>
      <c r="G294" s="29">
        <v>58.706467661691541</v>
      </c>
    </row>
    <row r="295" spans="1:7" x14ac:dyDescent="0.3">
      <c r="A295" s="28">
        <v>42370</v>
      </c>
      <c r="B295" s="29" t="s">
        <v>12</v>
      </c>
      <c r="C295" s="29">
        <v>748</v>
      </c>
      <c r="D295" s="29">
        <v>3.5454545454545454</v>
      </c>
      <c r="E295" s="29">
        <v>44.385026737967912</v>
      </c>
      <c r="F295" s="29">
        <v>416</v>
      </c>
      <c r="G295" s="29">
        <v>55.614973262032088</v>
      </c>
    </row>
    <row r="296" spans="1:7" x14ac:dyDescent="0.3">
      <c r="A296" s="26">
        <v>42370</v>
      </c>
      <c r="B296" s="27" t="s">
        <v>13</v>
      </c>
      <c r="C296" s="27">
        <v>108</v>
      </c>
      <c r="D296" s="27">
        <v>3.25</v>
      </c>
      <c r="E296" s="27">
        <v>46.296296296296298</v>
      </c>
      <c r="F296" s="27">
        <v>58</v>
      </c>
      <c r="G296" s="27">
        <v>53.703703703703709</v>
      </c>
    </row>
    <row r="297" spans="1:7" x14ac:dyDescent="0.3">
      <c r="A297" s="26">
        <v>42370</v>
      </c>
      <c r="B297" s="27" t="s">
        <v>14</v>
      </c>
      <c r="C297" s="27">
        <v>553</v>
      </c>
      <c r="D297" s="27">
        <v>3.3381555153707052</v>
      </c>
      <c r="E297" s="27">
        <v>49.186256781193485</v>
      </c>
      <c r="F297" s="27">
        <v>281</v>
      </c>
      <c r="G297" s="27">
        <v>50.813743218806508</v>
      </c>
    </row>
    <row r="298" spans="1:7" x14ac:dyDescent="0.3">
      <c r="A298" s="28">
        <v>42370</v>
      </c>
      <c r="B298" s="29" t="s">
        <v>15</v>
      </c>
      <c r="C298" s="29">
        <v>14</v>
      </c>
      <c r="D298" s="29">
        <v>4.2142857142857144</v>
      </c>
      <c r="E298" s="29">
        <v>7.1428571428571423</v>
      </c>
      <c r="F298" s="29">
        <v>13</v>
      </c>
      <c r="G298" s="29">
        <v>92.857142857142861</v>
      </c>
    </row>
    <row r="299" spans="1:7" x14ac:dyDescent="0.3">
      <c r="A299" s="28">
        <v>42370</v>
      </c>
      <c r="B299" s="29" t="s">
        <v>16</v>
      </c>
      <c r="C299" s="29">
        <v>31</v>
      </c>
      <c r="D299" s="29">
        <v>4</v>
      </c>
      <c r="E299" s="29">
        <v>38.70967741935484</v>
      </c>
      <c r="F299" s="29">
        <v>19</v>
      </c>
      <c r="G299" s="29">
        <v>61.29032258064516</v>
      </c>
    </row>
    <row r="300" spans="1:7" x14ac:dyDescent="0.3">
      <c r="A300" s="28">
        <v>42370</v>
      </c>
      <c r="B300" s="29" t="s">
        <v>17</v>
      </c>
      <c r="C300" s="29">
        <v>9</v>
      </c>
      <c r="D300" s="29">
        <v>3.4444444444444446</v>
      </c>
      <c r="E300" s="29">
        <v>44.444444444444443</v>
      </c>
      <c r="F300" s="29">
        <v>5</v>
      </c>
      <c r="G300" s="29">
        <v>55.555555555555557</v>
      </c>
    </row>
    <row r="301" spans="1:7" x14ac:dyDescent="0.3">
      <c r="A301" s="28">
        <v>42370</v>
      </c>
      <c r="B301" s="29" t="s">
        <v>18</v>
      </c>
      <c r="C301" s="29">
        <v>63</v>
      </c>
      <c r="D301" s="29">
        <v>3.5079365079365079</v>
      </c>
      <c r="E301" s="29">
        <v>38.095238095238095</v>
      </c>
      <c r="F301" s="29">
        <v>39</v>
      </c>
      <c r="G301" s="29">
        <v>61.904761904761905</v>
      </c>
    </row>
    <row r="302" spans="1:7" x14ac:dyDescent="0.3">
      <c r="A302" s="28">
        <v>42370</v>
      </c>
      <c r="B302" s="29" t="s">
        <v>19</v>
      </c>
      <c r="C302" s="29">
        <v>23</v>
      </c>
      <c r="D302" s="29">
        <v>3.652173913043478</v>
      </c>
      <c r="E302" s="29">
        <v>34.782608695652172</v>
      </c>
      <c r="F302" s="29">
        <v>15</v>
      </c>
      <c r="G302" s="29">
        <v>65.217391304347828</v>
      </c>
    </row>
    <row r="303" spans="1:7" x14ac:dyDescent="0.3">
      <c r="A303" s="28">
        <v>42370</v>
      </c>
      <c r="B303" s="29" t="s">
        <v>20</v>
      </c>
      <c r="C303" s="29">
        <v>7</v>
      </c>
      <c r="D303" s="29">
        <v>3.4285714285714284</v>
      </c>
      <c r="E303" s="29">
        <v>42.857142857142854</v>
      </c>
      <c r="F303" s="29">
        <v>4</v>
      </c>
      <c r="G303" s="29">
        <v>57.142857142857139</v>
      </c>
    </row>
    <row r="304" spans="1:7" x14ac:dyDescent="0.3">
      <c r="A304" s="28">
        <v>42370</v>
      </c>
      <c r="B304" s="29" t="s">
        <v>21</v>
      </c>
      <c r="C304" s="29">
        <v>28</v>
      </c>
      <c r="D304" s="29">
        <v>3.8571428571428572</v>
      </c>
      <c r="E304" s="29">
        <v>32.142857142857146</v>
      </c>
      <c r="F304" s="29">
        <v>19</v>
      </c>
      <c r="G304" s="29">
        <v>67.857142857142861</v>
      </c>
    </row>
    <row r="305" spans="1:7" x14ac:dyDescent="0.3">
      <c r="A305" s="28">
        <v>42370</v>
      </c>
      <c r="B305" s="29" t="s">
        <v>22</v>
      </c>
      <c r="C305" s="29">
        <v>9</v>
      </c>
      <c r="D305" s="29">
        <v>3.7777777777777777</v>
      </c>
      <c r="E305" s="29">
        <v>22.222222222222221</v>
      </c>
      <c r="F305" s="29">
        <v>7</v>
      </c>
      <c r="G305" s="29">
        <v>77.777777777777786</v>
      </c>
    </row>
    <row r="306" spans="1:7" x14ac:dyDescent="0.3">
      <c r="A306" s="26">
        <v>42370</v>
      </c>
      <c r="B306" s="27" t="s">
        <v>23</v>
      </c>
      <c r="C306" s="27">
        <v>607</v>
      </c>
      <c r="D306" s="27">
        <v>3.4382207578253707</v>
      </c>
      <c r="E306" s="27">
        <v>47.44645799011532</v>
      </c>
      <c r="F306" s="27">
        <v>319</v>
      </c>
      <c r="G306" s="27">
        <v>52.55354200988468</v>
      </c>
    </row>
    <row r="307" spans="1:7" x14ac:dyDescent="0.3">
      <c r="A307" s="26">
        <v>42370</v>
      </c>
      <c r="B307" s="27" t="s">
        <v>24</v>
      </c>
      <c r="C307" s="27">
        <v>5</v>
      </c>
      <c r="D307" s="27">
        <v>4</v>
      </c>
      <c r="E307" s="27">
        <v>60</v>
      </c>
      <c r="F307" s="27">
        <v>2</v>
      </c>
      <c r="G307" s="27">
        <v>40</v>
      </c>
    </row>
    <row r="308" spans="1:7" x14ac:dyDescent="0.3">
      <c r="A308" s="26">
        <v>42370</v>
      </c>
      <c r="B308" s="27" t="s">
        <v>25</v>
      </c>
      <c r="C308" s="27">
        <v>683</v>
      </c>
      <c r="D308" s="27">
        <v>3.3923865300146412</v>
      </c>
      <c r="E308" s="27">
        <v>48.755490483162518</v>
      </c>
      <c r="F308" s="27">
        <v>350</v>
      </c>
      <c r="G308" s="27">
        <v>51.244509516837475</v>
      </c>
    </row>
    <row r="309" spans="1:7" x14ac:dyDescent="0.3">
      <c r="A309" s="28">
        <v>42370</v>
      </c>
      <c r="B309" s="29" t="s">
        <v>26</v>
      </c>
      <c r="C309" s="29">
        <v>326</v>
      </c>
      <c r="D309" s="29">
        <v>3.5276073619631902</v>
      </c>
      <c r="E309" s="29">
        <v>44.785276073619634</v>
      </c>
      <c r="F309" s="29">
        <v>180</v>
      </c>
      <c r="G309" s="29">
        <v>55.214723926380373</v>
      </c>
    </row>
    <row r="310" spans="1:7" x14ac:dyDescent="0.3">
      <c r="A310" s="28">
        <v>42370</v>
      </c>
      <c r="B310" s="29" t="s">
        <v>27</v>
      </c>
      <c r="C310" s="29">
        <v>9</v>
      </c>
      <c r="D310" s="29">
        <v>3.1111111111111112</v>
      </c>
      <c r="E310" s="29">
        <v>44.444444444444443</v>
      </c>
      <c r="F310" s="29">
        <v>5</v>
      </c>
      <c r="G310" s="29">
        <v>55.555555555555557</v>
      </c>
    </row>
    <row r="311" spans="1:7" x14ac:dyDescent="0.3">
      <c r="A311" s="26">
        <v>42370</v>
      </c>
      <c r="B311" s="27" t="s">
        <v>28</v>
      </c>
      <c r="C311" s="27">
        <v>34</v>
      </c>
      <c r="D311" s="27">
        <v>3.0588235294117645</v>
      </c>
      <c r="E311" s="27">
        <v>55.882352941176471</v>
      </c>
      <c r="F311" s="27">
        <v>15</v>
      </c>
      <c r="G311" s="27">
        <v>44.117647058823529</v>
      </c>
    </row>
    <row r="312" spans="1:7" x14ac:dyDescent="0.3">
      <c r="A312" s="28">
        <v>42370</v>
      </c>
      <c r="B312" s="29" t="s">
        <v>29</v>
      </c>
      <c r="C312" s="29">
        <v>454</v>
      </c>
      <c r="D312" s="29">
        <v>3.4008810572687223</v>
      </c>
      <c r="E312" s="29">
        <v>44.493392070484582</v>
      </c>
      <c r="F312" s="29">
        <v>252</v>
      </c>
      <c r="G312" s="29">
        <v>55.506607929515418</v>
      </c>
    </row>
    <row r="313" spans="1:7" x14ac:dyDescent="0.3">
      <c r="A313" s="28">
        <v>42370</v>
      </c>
      <c r="B313" s="29" t="s">
        <v>30</v>
      </c>
      <c r="C313" s="29">
        <v>698</v>
      </c>
      <c r="D313" s="29">
        <v>3.4040114613180514</v>
      </c>
      <c r="E313" s="29">
        <v>43.839541547277939</v>
      </c>
      <c r="F313" s="29">
        <v>392</v>
      </c>
      <c r="G313" s="29">
        <v>56.160458452722061</v>
      </c>
    </row>
    <row r="314" spans="1:7" x14ac:dyDescent="0.3">
      <c r="A314" s="26">
        <v>42401</v>
      </c>
      <c r="B314" s="27" t="s">
        <v>7</v>
      </c>
      <c r="C314" s="27">
        <v>59</v>
      </c>
      <c r="D314" s="27">
        <v>3.4406779661016951</v>
      </c>
      <c r="E314" s="27">
        <v>45.762711864406782</v>
      </c>
      <c r="F314" s="27">
        <v>32</v>
      </c>
      <c r="G314" s="27">
        <v>54.237288135593218</v>
      </c>
    </row>
    <row r="315" spans="1:7" x14ac:dyDescent="0.3">
      <c r="A315" s="28">
        <v>42401</v>
      </c>
      <c r="B315" s="29" t="s">
        <v>8</v>
      </c>
      <c r="C315" s="29">
        <v>20</v>
      </c>
      <c r="D315" s="29">
        <v>4.75</v>
      </c>
      <c r="E315" s="29">
        <v>25</v>
      </c>
      <c r="F315" s="29">
        <v>15</v>
      </c>
      <c r="G315" s="29">
        <v>75</v>
      </c>
    </row>
    <row r="316" spans="1:7" x14ac:dyDescent="0.3">
      <c r="A316" s="26">
        <v>42401</v>
      </c>
      <c r="B316" s="27" t="s">
        <v>9</v>
      </c>
      <c r="C316" s="27">
        <v>10</v>
      </c>
      <c r="D316" s="27">
        <v>3.8</v>
      </c>
      <c r="E316" s="27">
        <v>50</v>
      </c>
      <c r="F316" s="27">
        <v>5</v>
      </c>
      <c r="G316" s="27">
        <v>50</v>
      </c>
    </row>
    <row r="317" spans="1:7" x14ac:dyDescent="0.3">
      <c r="A317" s="28">
        <v>42401</v>
      </c>
      <c r="B317" s="29" t="s">
        <v>10</v>
      </c>
      <c r="C317" s="29">
        <v>383</v>
      </c>
      <c r="D317" s="29">
        <v>3.6475195822454309</v>
      </c>
      <c r="E317" s="29">
        <v>44.386422976501308</v>
      </c>
      <c r="F317" s="29">
        <v>213</v>
      </c>
      <c r="G317" s="29">
        <v>55.613577023498692</v>
      </c>
    </row>
    <row r="318" spans="1:7" x14ac:dyDescent="0.3">
      <c r="A318" s="28">
        <v>42401</v>
      </c>
      <c r="B318" s="29" t="s">
        <v>11</v>
      </c>
      <c r="C318" s="29">
        <v>355</v>
      </c>
      <c r="D318" s="29">
        <v>3.5887323943661973</v>
      </c>
      <c r="E318" s="29">
        <v>41.12676056338028</v>
      </c>
      <c r="F318" s="29">
        <v>209</v>
      </c>
      <c r="G318" s="29">
        <v>58.87323943661972</v>
      </c>
    </row>
    <row r="319" spans="1:7" x14ac:dyDescent="0.3">
      <c r="A319" s="28">
        <v>42401</v>
      </c>
      <c r="B319" s="29" t="s">
        <v>12</v>
      </c>
      <c r="C319" s="29">
        <v>674</v>
      </c>
      <c r="D319" s="29">
        <v>3.4777448071216619</v>
      </c>
      <c r="E319" s="29">
        <v>44.658753709198812</v>
      </c>
      <c r="F319" s="29">
        <v>373</v>
      </c>
      <c r="G319" s="29">
        <v>55.34124629080118</v>
      </c>
    </row>
    <row r="320" spans="1:7" x14ac:dyDescent="0.3">
      <c r="A320" s="28">
        <v>42401</v>
      </c>
      <c r="B320" s="29" t="s">
        <v>13</v>
      </c>
      <c r="C320" s="29">
        <v>116</v>
      </c>
      <c r="D320" s="29">
        <v>3.5517241379310347</v>
      </c>
      <c r="E320" s="29">
        <v>44.827586206896555</v>
      </c>
      <c r="F320" s="29">
        <v>64</v>
      </c>
      <c r="G320" s="29">
        <v>55.172413793103445</v>
      </c>
    </row>
    <row r="321" spans="1:7" x14ac:dyDescent="0.3">
      <c r="A321" s="26">
        <v>42401</v>
      </c>
      <c r="B321" s="27" t="s">
        <v>14</v>
      </c>
      <c r="C321" s="27">
        <v>518</v>
      </c>
      <c r="D321" s="27">
        <v>3.611969111969112</v>
      </c>
      <c r="E321" s="27">
        <v>45.752895752895753</v>
      </c>
      <c r="F321" s="27">
        <v>281</v>
      </c>
      <c r="G321" s="27">
        <v>54.247104247104247</v>
      </c>
    </row>
    <row r="322" spans="1:7" x14ac:dyDescent="0.3">
      <c r="A322" s="26">
        <v>42401</v>
      </c>
      <c r="B322" s="27" t="s">
        <v>15</v>
      </c>
      <c r="C322" s="27">
        <v>8</v>
      </c>
      <c r="D322" s="27">
        <v>3</v>
      </c>
      <c r="E322" s="27">
        <v>62.5</v>
      </c>
      <c r="F322" s="27">
        <v>3</v>
      </c>
      <c r="G322" s="27">
        <v>37.5</v>
      </c>
    </row>
    <row r="323" spans="1:7" x14ac:dyDescent="0.3">
      <c r="A323" s="26">
        <v>42401</v>
      </c>
      <c r="B323" s="27" t="s">
        <v>16</v>
      </c>
      <c r="C323" s="27">
        <v>49</v>
      </c>
      <c r="D323" s="27">
        <v>3.5510204081632653</v>
      </c>
      <c r="E323" s="27">
        <v>55.102040816326522</v>
      </c>
      <c r="F323" s="27">
        <v>22</v>
      </c>
      <c r="G323" s="27">
        <v>44.897959183673471</v>
      </c>
    </row>
    <row r="324" spans="1:7" x14ac:dyDescent="0.3">
      <c r="A324" s="26">
        <v>42401</v>
      </c>
      <c r="B324" s="27" t="s">
        <v>17</v>
      </c>
      <c r="C324" s="27">
        <v>9</v>
      </c>
      <c r="D324" s="27">
        <v>2.6666666666666665</v>
      </c>
      <c r="E324" s="27">
        <v>66.666666666666657</v>
      </c>
      <c r="F324" s="27">
        <v>3</v>
      </c>
      <c r="G324" s="27">
        <v>33.333333333333329</v>
      </c>
    </row>
    <row r="325" spans="1:7" x14ac:dyDescent="0.3">
      <c r="A325" s="26">
        <v>42401</v>
      </c>
      <c r="B325" s="27" t="s">
        <v>18</v>
      </c>
      <c r="C325" s="27">
        <v>58</v>
      </c>
      <c r="D325" s="27">
        <v>3.3103448275862069</v>
      </c>
      <c r="E325" s="27">
        <v>53.448275862068961</v>
      </c>
      <c r="F325" s="27">
        <v>27</v>
      </c>
      <c r="G325" s="27">
        <v>46.551724137931032</v>
      </c>
    </row>
    <row r="326" spans="1:7" x14ac:dyDescent="0.3">
      <c r="A326" s="26">
        <v>42401</v>
      </c>
      <c r="B326" s="27" t="s">
        <v>19</v>
      </c>
      <c r="C326" s="27">
        <v>30</v>
      </c>
      <c r="D326" s="27">
        <v>3.5666666666666669</v>
      </c>
      <c r="E326" s="27">
        <v>50</v>
      </c>
      <c r="F326" s="27">
        <v>15</v>
      </c>
      <c r="G326" s="27">
        <v>50</v>
      </c>
    </row>
    <row r="327" spans="1:7" x14ac:dyDescent="0.3">
      <c r="A327" s="28">
        <v>42401</v>
      </c>
      <c r="B327" s="29" t="s">
        <v>20</v>
      </c>
      <c r="C327" s="29">
        <v>10</v>
      </c>
      <c r="D327" s="29">
        <v>2.9</v>
      </c>
      <c r="E327" s="29">
        <v>40</v>
      </c>
      <c r="F327" s="29">
        <v>6</v>
      </c>
      <c r="G327" s="29">
        <v>60</v>
      </c>
    </row>
    <row r="328" spans="1:7" x14ac:dyDescent="0.3">
      <c r="A328" s="28">
        <v>42401</v>
      </c>
      <c r="B328" s="29" t="s">
        <v>21</v>
      </c>
      <c r="C328" s="29">
        <v>14</v>
      </c>
      <c r="D328" s="29">
        <v>3.9285714285714284</v>
      </c>
      <c r="E328" s="29">
        <v>42.857142857142854</v>
      </c>
      <c r="F328" s="29">
        <v>8</v>
      </c>
      <c r="G328" s="29">
        <v>57.142857142857139</v>
      </c>
    </row>
    <row r="329" spans="1:7" x14ac:dyDescent="0.3">
      <c r="A329" s="26">
        <v>42401</v>
      </c>
      <c r="B329" s="27" t="s">
        <v>22</v>
      </c>
      <c r="C329" s="27">
        <v>11</v>
      </c>
      <c r="D329" s="27">
        <v>3.0909090909090908</v>
      </c>
      <c r="E329" s="27">
        <v>45.454545454545453</v>
      </c>
      <c r="F329" s="27">
        <v>6</v>
      </c>
      <c r="G329" s="27">
        <v>54.54545454545454</v>
      </c>
    </row>
    <row r="330" spans="1:7" x14ac:dyDescent="0.3">
      <c r="A330" s="26">
        <v>42401</v>
      </c>
      <c r="B330" s="27" t="s">
        <v>23</v>
      </c>
      <c r="C330" s="27">
        <v>573</v>
      </c>
      <c r="D330" s="27">
        <v>3.4572425828970332</v>
      </c>
      <c r="E330" s="27">
        <v>48.865619546247821</v>
      </c>
      <c r="F330" s="27">
        <v>293</v>
      </c>
      <c r="G330" s="27">
        <v>51.134380453752179</v>
      </c>
    </row>
    <row r="331" spans="1:7" x14ac:dyDescent="0.3">
      <c r="A331" s="26">
        <v>42401</v>
      </c>
      <c r="B331" s="27" t="s">
        <v>24</v>
      </c>
      <c r="C331" s="27">
        <v>7</v>
      </c>
      <c r="D331" s="27">
        <v>4.2857142857142856</v>
      </c>
      <c r="E331" s="27">
        <v>57.142857142857139</v>
      </c>
      <c r="F331" s="27">
        <v>3</v>
      </c>
      <c r="G331" s="27">
        <v>42.857142857142854</v>
      </c>
    </row>
    <row r="332" spans="1:7" x14ac:dyDescent="0.3">
      <c r="A332" s="26">
        <v>42401</v>
      </c>
      <c r="B332" s="27" t="s">
        <v>25</v>
      </c>
      <c r="C332" s="27">
        <v>635</v>
      </c>
      <c r="D332" s="27">
        <v>3.5496062992125985</v>
      </c>
      <c r="E332" s="27">
        <v>45.826771653543311</v>
      </c>
      <c r="F332" s="27">
        <v>344</v>
      </c>
      <c r="G332" s="27">
        <v>54.173228346456689</v>
      </c>
    </row>
    <row r="333" spans="1:7" x14ac:dyDescent="0.3">
      <c r="A333" s="28">
        <v>42401</v>
      </c>
      <c r="B333" s="29" t="s">
        <v>26</v>
      </c>
      <c r="C333" s="29">
        <v>300</v>
      </c>
      <c r="D333" s="29">
        <v>3.4833333333333334</v>
      </c>
      <c r="E333" s="29">
        <v>41.666666666666671</v>
      </c>
      <c r="F333" s="29">
        <v>175</v>
      </c>
      <c r="G333" s="29">
        <v>58.333333333333336</v>
      </c>
    </row>
    <row r="334" spans="1:7" x14ac:dyDescent="0.3">
      <c r="A334" s="26">
        <v>42401</v>
      </c>
      <c r="B334" s="27" t="s">
        <v>27</v>
      </c>
      <c r="C334" s="27">
        <v>13</v>
      </c>
      <c r="D334" s="27">
        <v>3.4615384615384617</v>
      </c>
      <c r="E334" s="27">
        <v>69.230769230769226</v>
      </c>
      <c r="F334" s="27">
        <v>4</v>
      </c>
      <c r="G334" s="27">
        <v>30.76923076923077</v>
      </c>
    </row>
    <row r="335" spans="1:7" x14ac:dyDescent="0.3">
      <c r="A335" s="26">
        <v>42401</v>
      </c>
      <c r="B335" s="27" t="s">
        <v>28</v>
      </c>
      <c r="C335" s="27">
        <v>31</v>
      </c>
      <c r="D335" s="27">
        <v>3.3548387096774195</v>
      </c>
      <c r="E335" s="27">
        <v>48.387096774193552</v>
      </c>
      <c r="F335" s="27">
        <v>16</v>
      </c>
      <c r="G335" s="27">
        <v>51.612903225806448</v>
      </c>
    </row>
    <row r="336" spans="1:7" x14ac:dyDescent="0.3">
      <c r="A336" s="26">
        <v>42401</v>
      </c>
      <c r="B336" s="27" t="s">
        <v>29</v>
      </c>
      <c r="C336" s="27">
        <v>428</v>
      </c>
      <c r="D336" s="27">
        <v>3.5397196261682242</v>
      </c>
      <c r="E336" s="27">
        <v>46.028037383177569</v>
      </c>
      <c r="F336" s="27">
        <v>231</v>
      </c>
      <c r="G336" s="27">
        <v>53.971962616822431</v>
      </c>
    </row>
    <row r="337" spans="1:7" x14ac:dyDescent="0.3">
      <c r="A337" s="28">
        <v>42401</v>
      </c>
      <c r="B337" s="29" t="s">
        <v>30</v>
      </c>
      <c r="C337" s="29">
        <v>583</v>
      </c>
      <c r="D337" s="29">
        <v>3.6072041166380791</v>
      </c>
      <c r="E337" s="29">
        <v>43.739279588336196</v>
      </c>
      <c r="F337" s="29">
        <v>328</v>
      </c>
      <c r="G337" s="29">
        <v>56.260720411663812</v>
      </c>
    </row>
    <row r="338" spans="1:7" x14ac:dyDescent="0.3">
      <c r="A338" s="26">
        <v>42430</v>
      </c>
      <c r="B338" s="27" t="s">
        <v>7</v>
      </c>
      <c r="C338" s="27">
        <v>63</v>
      </c>
      <c r="D338" s="27">
        <v>3.0793650793650795</v>
      </c>
      <c r="E338" s="27">
        <v>52.380952380952387</v>
      </c>
      <c r="F338" s="27">
        <v>30</v>
      </c>
      <c r="G338" s="27">
        <v>47.619047619047613</v>
      </c>
    </row>
    <row r="339" spans="1:7" x14ac:dyDescent="0.3">
      <c r="A339" s="28">
        <v>42430</v>
      </c>
      <c r="B339" s="29" t="s">
        <v>8</v>
      </c>
      <c r="C339" s="29">
        <v>20</v>
      </c>
      <c r="D339" s="29">
        <v>3.55</v>
      </c>
      <c r="E339" s="29">
        <v>40</v>
      </c>
      <c r="F339" s="29">
        <v>12</v>
      </c>
      <c r="G339" s="29">
        <v>60</v>
      </c>
    </row>
    <row r="340" spans="1:7" x14ac:dyDescent="0.3">
      <c r="A340" s="26">
        <v>42430</v>
      </c>
      <c r="B340" s="27" t="s">
        <v>9</v>
      </c>
      <c r="C340" s="27">
        <v>8</v>
      </c>
      <c r="D340" s="27">
        <v>3.5</v>
      </c>
      <c r="E340" s="27">
        <v>50</v>
      </c>
      <c r="F340" s="27">
        <v>4</v>
      </c>
      <c r="G340" s="27">
        <v>50</v>
      </c>
    </row>
    <row r="341" spans="1:7" x14ac:dyDescent="0.3">
      <c r="A341" s="28">
        <v>42430</v>
      </c>
      <c r="B341" s="29" t="s">
        <v>10</v>
      </c>
      <c r="C341" s="29">
        <v>433</v>
      </c>
      <c r="D341" s="29">
        <v>3.5242494226327943</v>
      </c>
      <c r="E341" s="29">
        <v>44.803695150115473</v>
      </c>
      <c r="F341" s="29">
        <v>239</v>
      </c>
      <c r="G341" s="29">
        <v>55.196304849884527</v>
      </c>
    </row>
    <row r="342" spans="1:7" x14ac:dyDescent="0.3">
      <c r="A342" s="28">
        <v>42430</v>
      </c>
      <c r="B342" s="29" t="s">
        <v>11</v>
      </c>
      <c r="C342" s="29">
        <v>366</v>
      </c>
      <c r="D342" s="29">
        <v>3.4398907103825138</v>
      </c>
      <c r="E342" s="29">
        <v>44.808743169398909</v>
      </c>
      <c r="F342" s="29">
        <v>202</v>
      </c>
      <c r="G342" s="29">
        <v>55.191256830601091</v>
      </c>
    </row>
    <row r="343" spans="1:7" x14ac:dyDescent="0.3">
      <c r="A343" s="28">
        <v>42430</v>
      </c>
      <c r="B343" s="29" t="s">
        <v>12</v>
      </c>
      <c r="C343" s="29">
        <v>798</v>
      </c>
      <c r="D343" s="29">
        <v>3.4636591478696741</v>
      </c>
      <c r="E343" s="29">
        <v>42.105263157894733</v>
      </c>
      <c r="F343" s="29">
        <v>462</v>
      </c>
      <c r="G343" s="29">
        <v>57.894736842105267</v>
      </c>
    </row>
    <row r="344" spans="1:7" x14ac:dyDescent="0.3">
      <c r="A344" s="28">
        <v>42430</v>
      </c>
      <c r="B344" s="29" t="s">
        <v>13</v>
      </c>
      <c r="C344" s="29">
        <v>105</v>
      </c>
      <c r="D344" s="29">
        <v>3.676190476190476</v>
      </c>
      <c r="E344" s="29">
        <v>40.952380952380949</v>
      </c>
      <c r="F344" s="29">
        <v>62</v>
      </c>
      <c r="G344" s="29">
        <v>59.047619047619051</v>
      </c>
    </row>
    <row r="345" spans="1:7" x14ac:dyDescent="0.3">
      <c r="A345" s="26">
        <v>42430</v>
      </c>
      <c r="B345" s="27" t="s">
        <v>14</v>
      </c>
      <c r="C345" s="27">
        <v>528</v>
      </c>
      <c r="D345" s="27">
        <v>3.375</v>
      </c>
      <c r="E345" s="27">
        <v>50</v>
      </c>
      <c r="F345" s="27">
        <v>264</v>
      </c>
      <c r="G345" s="27">
        <v>50</v>
      </c>
    </row>
    <row r="346" spans="1:7" x14ac:dyDescent="0.3">
      <c r="A346" s="26">
        <v>42430</v>
      </c>
      <c r="B346" s="27" t="s">
        <v>15</v>
      </c>
      <c r="C346" s="27">
        <v>10</v>
      </c>
      <c r="D346" s="27">
        <v>3.9</v>
      </c>
      <c r="E346" s="27">
        <v>50</v>
      </c>
      <c r="F346" s="27">
        <v>5</v>
      </c>
      <c r="G346" s="27">
        <v>50</v>
      </c>
    </row>
    <row r="347" spans="1:7" x14ac:dyDescent="0.3">
      <c r="A347" s="28">
        <v>42430</v>
      </c>
      <c r="B347" s="29" t="s">
        <v>16</v>
      </c>
      <c r="C347" s="29">
        <v>45</v>
      </c>
      <c r="D347" s="29">
        <v>3.6222222222222222</v>
      </c>
      <c r="E347" s="29">
        <v>44.444444444444443</v>
      </c>
      <c r="F347" s="29">
        <v>25</v>
      </c>
      <c r="G347" s="29">
        <v>55.555555555555557</v>
      </c>
    </row>
    <row r="348" spans="1:7" x14ac:dyDescent="0.3">
      <c r="A348" s="26">
        <v>42430</v>
      </c>
      <c r="B348" s="27" t="s">
        <v>17</v>
      </c>
      <c r="C348" s="27">
        <v>8</v>
      </c>
      <c r="D348" s="27">
        <v>3.125</v>
      </c>
      <c r="E348" s="27">
        <v>62.5</v>
      </c>
      <c r="F348" s="27">
        <v>3</v>
      </c>
      <c r="G348" s="27">
        <v>37.5</v>
      </c>
    </row>
    <row r="349" spans="1:7" x14ac:dyDescent="0.3">
      <c r="A349" s="26">
        <v>42430</v>
      </c>
      <c r="B349" s="27" t="s">
        <v>18</v>
      </c>
      <c r="C349" s="27">
        <v>39</v>
      </c>
      <c r="D349" s="27">
        <v>3.4871794871794872</v>
      </c>
      <c r="E349" s="27">
        <v>51.282051282051277</v>
      </c>
      <c r="F349" s="27">
        <v>19</v>
      </c>
      <c r="G349" s="27">
        <v>48.717948717948715</v>
      </c>
    </row>
    <row r="350" spans="1:7" x14ac:dyDescent="0.3">
      <c r="A350" s="28">
        <v>42430</v>
      </c>
      <c r="B350" s="29" t="s">
        <v>19</v>
      </c>
      <c r="C350" s="29">
        <v>37</v>
      </c>
      <c r="D350" s="29">
        <v>3.4594594594594597</v>
      </c>
      <c r="E350" s="29">
        <v>40.54054054054054</v>
      </c>
      <c r="F350" s="29">
        <v>22</v>
      </c>
      <c r="G350" s="29">
        <v>59.45945945945946</v>
      </c>
    </row>
    <row r="351" spans="1:7" x14ac:dyDescent="0.3">
      <c r="A351" s="28">
        <v>42430</v>
      </c>
      <c r="B351" s="29" t="s">
        <v>20</v>
      </c>
      <c r="C351" s="29">
        <v>8</v>
      </c>
      <c r="D351" s="29">
        <v>4</v>
      </c>
      <c r="E351" s="29">
        <v>0</v>
      </c>
      <c r="F351" s="29">
        <v>8</v>
      </c>
      <c r="G351" s="29">
        <v>100</v>
      </c>
    </row>
    <row r="352" spans="1:7" x14ac:dyDescent="0.3">
      <c r="A352" s="28">
        <v>42430</v>
      </c>
      <c r="B352" s="29" t="s">
        <v>21</v>
      </c>
      <c r="C352" s="29">
        <v>21</v>
      </c>
      <c r="D352" s="29">
        <v>3.6666666666666665</v>
      </c>
      <c r="E352" s="29">
        <v>23.809523809523807</v>
      </c>
      <c r="F352" s="29">
        <v>16</v>
      </c>
      <c r="G352" s="29">
        <v>76.19047619047619</v>
      </c>
    </row>
    <row r="353" spans="1:7" x14ac:dyDescent="0.3">
      <c r="A353" s="26">
        <v>42430</v>
      </c>
      <c r="B353" s="27" t="s">
        <v>22</v>
      </c>
      <c r="C353" s="27">
        <v>12</v>
      </c>
      <c r="D353" s="27">
        <v>3</v>
      </c>
      <c r="E353" s="27">
        <v>50</v>
      </c>
      <c r="F353" s="27">
        <v>6</v>
      </c>
      <c r="G353" s="27">
        <v>50</v>
      </c>
    </row>
    <row r="354" spans="1:7" x14ac:dyDescent="0.3">
      <c r="A354" s="26">
        <v>42430</v>
      </c>
      <c r="B354" s="27" t="s">
        <v>23</v>
      </c>
      <c r="C354" s="27">
        <v>574</v>
      </c>
      <c r="D354" s="27">
        <v>3.3292682926829267</v>
      </c>
      <c r="E354" s="27">
        <v>47.21254355400697</v>
      </c>
      <c r="F354" s="27">
        <v>303</v>
      </c>
      <c r="G354" s="27">
        <v>52.78745644599303</v>
      </c>
    </row>
    <row r="355" spans="1:7" x14ac:dyDescent="0.3">
      <c r="A355" s="28">
        <v>42430</v>
      </c>
      <c r="B355" s="29" t="s">
        <v>24</v>
      </c>
      <c r="C355" s="29">
        <v>12</v>
      </c>
      <c r="D355" s="29">
        <v>3.9166666666666665</v>
      </c>
      <c r="E355" s="29">
        <v>25</v>
      </c>
      <c r="F355" s="29">
        <v>9</v>
      </c>
      <c r="G355" s="29">
        <v>75</v>
      </c>
    </row>
    <row r="356" spans="1:7" x14ac:dyDescent="0.3">
      <c r="A356" s="26">
        <v>42430</v>
      </c>
      <c r="B356" s="27" t="s">
        <v>25</v>
      </c>
      <c r="C356" s="27">
        <v>675</v>
      </c>
      <c r="D356" s="27">
        <v>3.4725925925925925</v>
      </c>
      <c r="E356" s="27">
        <v>46.370370370370374</v>
      </c>
      <c r="F356" s="27">
        <v>362</v>
      </c>
      <c r="G356" s="27">
        <v>53.629629629629626</v>
      </c>
    </row>
    <row r="357" spans="1:7" x14ac:dyDescent="0.3">
      <c r="A357" s="28">
        <v>42430</v>
      </c>
      <c r="B357" s="29" t="s">
        <v>26</v>
      </c>
      <c r="C357" s="29">
        <v>323</v>
      </c>
      <c r="D357" s="29">
        <v>3.4613003095975232</v>
      </c>
      <c r="E357" s="29">
        <v>41.17647058823529</v>
      </c>
      <c r="F357" s="29">
        <v>190</v>
      </c>
      <c r="G357" s="29">
        <v>58.82352941176471</v>
      </c>
    </row>
    <row r="358" spans="1:7" x14ac:dyDescent="0.3">
      <c r="A358" s="28">
        <v>42430</v>
      </c>
      <c r="B358" s="29" t="s">
        <v>27</v>
      </c>
      <c r="C358" s="29">
        <v>12</v>
      </c>
      <c r="D358" s="29">
        <v>3.5</v>
      </c>
      <c r="E358" s="29">
        <v>33.333333333333329</v>
      </c>
      <c r="F358" s="29">
        <v>8</v>
      </c>
      <c r="G358" s="29">
        <v>66.666666666666657</v>
      </c>
    </row>
    <row r="359" spans="1:7" x14ac:dyDescent="0.3">
      <c r="A359" s="26">
        <v>42430</v>
      </c>
      <c r="B359" s="27" t="s">
        <v>28</v>
      </c>
      <c r="C359" s="27">
        <v>43</v>
      </c>
      <c r="D359" s="27">
        <v>3.3255813953488373</v>
      </c>
      <c r="E359" s="27">
        <v>55.813953488372093</v>
      </c>
      <c r="F359" s="27">
        <v>19</v>
      </c>
      <c r="G359" s="27">
        <v>44.186046511627907</v>
      </c>
    </row>
    <row r="360" spans="1:7" x14ac:dyDescent="0.3">
      <c r="A360" s="28">
        <v>42430</v>
      </c>
      <c r="B360" s="29" t="s">
        <v>29</v>
      </c>
      <c r="C360" s="29">
        <v>453</v>
      </c>
      <c r="D360" s="29">
        <v>3.5386313465783665</v>
      </c>
      <c r="E360" s="29">
        <v>42.384105960264904</v>
      </c>
      <c r="F360" s="29">
        <v>261</v>
      </c>
      <c r="G360" s="29">
        <v>57.615894039735096</v>
      </c>
    </row>
    <row r="361" spans="1:7" x14ac:dyDescent="0.3">
      <c r="A361" s="28">
        <v>42430</v>
      </c>
      <c r="B361" s="29" t="s">
        <v>30</v>
      </c>
      <c r="C361" s="29">
        <v>617</v>
      </c>
      <c r="D361" s="29">
        <v>3.3905996758508916</v>
      </c>
      <c r="E361" s="29">
        <v>44.732576985413289</v>
      </c>
      <c r="F361" s="29">
        <v>341</v>
      </c>
      <c r="G361" s="29">
        <v>55.267423014586711</v>
      </c>
    </row>
    <row r="362" spans="1:7" x14ac:dyDescent="0.3">
      <c r="A362" s="26">
        <v>42461</v>
      </c>
      <c r="B362" s="27" t="s">
        <v>7</v>
      </c>
      <c r="C362" s="27">
        <v>79</v>
      </c>
      <c r="D362" s="27">
        <v>3.4303797468354431</v>
      </c>
      <c r="E362" s="27">
        <v>46.835443037974684</v>
      </c>
      <c r="F362" s="27">
        <v>42</v>
      </c>
      <c r="G362" s="27">
        <v>53.164556962025308</v>
      </c>
    </row>
    <row r="363" spans="1:7" x14ac:dyDescent="0.3">
      <c r="A363" s="26">
        <v>42461</v>
      </c>
      <c r="B363" s="27" t="s">
        <v>8</v>
      </c>
      <c r="C363" s="27">
        <v>24</v>
      </c>
      <c r="D363" s="27">
        <v>3.375</v>
      </c>
      <c r="E363" s="27">
        <v>58.333333333333336</v>
      </c>
      <c r="F363" s="27">
        <v>10</v>
      </c>
      <c r="G363" s="27">
        <v>41.666666666666671</v>
      </c>
    </row>
    <row r="364" spans="1:7" x14ac:dyDescent="0.3">
      <c r="A364" s="28">
        <v>42461</v>
      </c>
      <c r="B364" s="29" t="s">
        <v>9</v>
      </c>
      <c r="C364" s="29">
        <v>5</v>
      </c>
      <c r="D364" s="29">
        <v>4</v>
      </c>
      <c r="E364" s="29">
        <v>40</v>
      </c>
      <c r="F364" s="29">
        <v>3</v>
      </c>
      <c r="G364" s="29">
        <v>60</v>
      </c>
    </row>
    <row r="365" spans="1:7" x14ac:dyDescent="0.3">
      <c r="A365" s="26">
        <v>42461</v>
      </c>
      <c r="B365" s="27" t="s">
        <v>10</v>
      </c>
      <c r="C365" s="27">
        <v>384</v>
      </c>
      <c r="D365" s="27">
        <v>3.515625</v>
      </c>
      <c r="E365" s="27">
        <v>50.78125</v>
      </c>
      <c r="F365" s="27">
        <v>189</v>
      </c>
      <c r="G365" s="27">
        <v>49.21875</v>
      </c>
    </row>
    <row r="366" spans="1:7" x14ac:dyDescent="0.3">
      <c r="A366" s="28">
        <v>42461</v>
      </c>
      <c r="B366" s="29" t="s">
        <v>11</v>
      </c>
      <c r="C366" s="29">
        <v>362</v>
      </c>
      <c r="D366" s="29">
        <v>3.5580110497237567</v>
      </c>
      <c r="E366" s="29">
        <v>44.475138121546962</v>
      </c>
      <c r="F366" s="29">
        <v>201</v>
      </c>
      <c r="G366" s="29">
        <v>55.524861878453038</v>
      </c>
    </row>
    <row r="367" spans="1:7" x14ac:dyDescent="0.3">
      <c r="A367" s="26">
        <v>42461</v>
      </c>
      <c r="B367" s="27" t="s">
        <v>12</v>
      </c>
      <c r="C367" s="27">
        <v>739</v>
      </c>
      <c r="D367" s="27">
        <v>3.5656292286874156</v>
      </c>
      <c r="E367" s="27">
        <v>45.87280108254398</v>
      </c>
      <c r="F367" s="27">
        <v>400</v>
      </c>
      <c r="G367" s="27">
        <v>54.12719891745602</v>
      </c>
    </row>
    <row r="368" spans="1:7" x14ac:dyDescent="0.3">
      <c r="A368" s="26">
        <v>42461</v>
      </c>
      <c r="B368" s="27" t="s">
        <v>13</v>
      </c>
      <c r="C368" s="27">
        <v>92</v>
      </c>
      <c r="D368" s="27">
        <v>3.2282608695652173</v>
      </c>
      <c r="E368" s="27">
        <v>50</v>
      </c>
      <c r="F368" s="27">
        <v>46</v>
      </c>
      <c r="G368" s="27">
        <v>50</v>
      </c>
    </row>
    <row r="369" spans="1:7" x14ac:dyDescent="0.3">
      <c r="A369" s="28">
        <v>42461</v>
      </c>
      <c r="B369" s="29" t="s">
        <v>14</v>
      </c>
      <c r="C369" s="29">
        <v>527</v>
      </c>
      <c r="D369" s="29">
        <v>3.5901328273244784</v>
      </c>
      <c r="E369" s="29">
        <v>44.971537001897531</v>
      </c>
      <c r="F369" s="29">
        <v>290</v>
      </c>
      <c r="G369" s="29">
        <v>55.028462998102469</v>
      </c>
    </row>
    <row r="370" spans="1:7" x14ac:dyDescent="0.3">
      <c r="A370" s="28">
        <v>42461</v>
      </c>
      <c r="B370" s="29" t="s">
        <v>15</v>
      </c>
      <c r="C370" s="29">
        <v>10</v>
      </c>
      <c r="D370" s="29">
        <v>4.5999999999999996</v>
      </c>
      <c r="E370" s="29">
        <v>30</v>
      </c>
      <c r="F370" s="29">
        <v>7</v>
      </c>
      <c r="G370" s="29">
        <v>70</v>
      </c>
    </row>
    <row r="371" spans="1:7" x14ac:dyDescent="0.3">
      <c r="A371" s="26">
        <v>42461</v>
      </c>
      <c r="B371" s="27" t="s">
        <v>16</v>
      </c>
      <c r="C371" s="27">
        <v>42</v>
      </c>
      <c r="D371" s="27">
        <v>3.3809523809523809</v>
      </c>
      <c r="E371" s="27">
        <v>47.619047619047613</v>
      </c>
      <c r="F371" s="27">
        <v>22</v>
      </c>
      <c r="G371" s="27">
        <v>52.380952380952387</v>
      </c>
    </row>
    <row r="372" spans="1:7" x14ac:dyDescent="0.3">
      <c r="A372" s="26">
        <v>42461</v>
      </c>
      <c r="B372" s="27" t="s">
        <v>17</v>
      </c>
      <c r="C372" s="27">
        <v>11</v>
      </c>
      <c r="D372" s="27">
        <v>3.7272727272727271</v>
      </c>
      <c r="E372" s="27">
        <v>72.727272727272734</v>
      </c>
      <c r="F372" s="27">
        <v>3</v>
      </c>
      <c r="G372" s="27">
        <v>27.27272727272727</v>
      </c>
    </row>
    <row r="373" spans="1:7" x14ac:dyDescent="0.3">
      <c r="A373" s="28">
        <v>42461</v>
      </c>
      <c r="B373" s="29" t="s">
        <v>18</v>
      </c>
      <c r="C373" s="29">
        <v>45</v>
      </c>
      <c r="D373" s="29">
        <v>3.6</v>
      </c>
      <c r="E373" s="29">
        <v>44.444444444444443</v>
      </c>
      <c r="F373" s="29">
        <v>25</v>
      </c>
      <c r="G373" s="29">
        <v>55.555555555555557</v>
      </c>
    </row>
    <row r="374" spans="1:7" x14ac:dyDescent="0.3">
      <c r="A374" s="28">
        <v>42461</v>
      </c>
      <c r="B374" s="29" t="s">
        <v>19</v>
      </c>
      <c r="C374" s="29">
        <v>27</v>
      </c>
      <c r="D374" s="29">
        <v>3.1481481481481484</v>
      </c>
      <c r="E374" s="29">
        <v>44.444444444444443</v>
      </c>
      <c r="F374" s="29">
        <v>15</v>
      </c>
      <c r="G374" s="29">
        <v>55.555555555555557</v>
      </c>
    </row>
    <row r="375" spans="1:7" x14ac:dyDescent="0.3">
      <c r="A375" s="28">
        <v>42461</v>
      </c>
      <c r="B375" s="29" t="s">
        <v>20</v>
      </c>
      <c r="C375" s="29">
        <v>15</v>
      </c>
      <c r="D375" s="29">
        <v>3.6666666666666665</v>
      </c>
      <c r="E375" s="29">
        <v>26.666666666666668</v>
      </c>
      <c r="F375" s="29">
        <v>11</v>
      </c>
      <c r="G375" s="29">
        <v>73.333333333333329</v>
      </c>
    </row>
    <row r="376" spans="1:7" x14ac:dyDescent="0.3">
      <c r="A376" s="26">
        <v>42461</v>
      </c>
      <c r="B376" s="27" t="s">
        <v>21</v>
      </c>
      <c r="C376" s="27">
        <v>17</v>
      </c>
      <c r="D376" s="27">
        <v>3.1764705882352939</v>
      </c>
      <c r="E376" s="27">
        <v>64.705882352941174</v>
      </c>
      <c r="F376" s="27">
        <v>6</v>
      </c>
      <c r="G376" s="27">
        <v>35.294117647058826</v>
      </c>
    </row>
    <row r="377" spans="1:7" x14ac:dyDescent="0.3">
      <c r="A377" s="28">
        <v>42461</v>
      </c>
      <c r="B377" s="29" t="s">
        <v>22</v>
      </c>
      <c r="C377" s="29">
        <v>11</v>
      </c>
      <c r="D377" s="29">
        <v>2.7272727272727271</v>
      </c>
      <c r="E377" s="29">
        <v>36.363636363636367</v>
      </c>
      <c r="F377" s="29">
        <v>7</v>
      </c>
      <c r="G377" s="29">
        <v>63.636363636363633</v>
      </c>
    </row>
    <row r="378" spans="1:7" x14ac:dyDescent="0.3">
      <c r="A378" s="28">
        <v>42461</v>
      </c>
      <c r="B378" s="29" t="s">
        <v>23</v>
      </c>
      <c r="C378" s="29">
        <v>580</v>
      </c>
      <c r="D378" s="29">
        <v>3.4051724137931036</v>
      </c>
      <c r="E378" s="29">
        <v>43.793103448275858</v>
      </c>
      <c r="F378" s="29">
        <v>326</v>
      </c>
      <c r="G378" s="29">
        <v>56.206896551724142</v>
      </c>
    </row>
    <row r="379" spans="1:7" x14ac:dyDescent="0.3">
      <c r="A379" s="28">
        <v>42461</v>
      </c>
      <c r="B379" s="29" t="s">
        <v>24</v>
      </c>
      <c r="C379" s="29">
        <v>14</v>
      </c>
      <c r="D379" s="29">
        <v>3.2857142857142856</v>
      </c>
      <c r="E379" s="29">
        <v>35.714285714285715</v>
      </c>
      <c r="F379" s="29">
        <v>9</v>
      </c>
      <c r="G379" s="29">
        <v>64.285714285714292</v>
      </c>
    </row>
    <row r="380" spans="1:7" x14ac:dyDescent="0.3">
      <c r="A380" s="26">
        <v>42461</v>
      </c>
      <c r="B380" s="27" t="s">
        <v>25</v>
      </c>
      <c r="C380" s="27">
        <v>683</v>
      </c>
      <c r="D380" s="27">
        <v>3.5095168374816983</v>
      </c>
      <c r="E380" s="27">
        <v>45.095168374816986</v>
      </c>
      <c r="F380" s="27">
        <v>375</v>
      </c>
      <c r="G380" s="27">
        <v>54.904831625183014</v>
      </c>
    </row>
    <row r="381" spans="1:7" x14ac:dyDescent="0.3">
      <c r="A381" s="28">
        <v>42461</v>
      </c>
      <c r="B381" s="29" t="s">
        <v>26</v>
      </c>
      <c r="C381" s="29">
        <v>331</v>
      </c>
      <c r="D381" s="29">
        <v>3.6435045317220545</v>
      </c>
      <c r="E381" s="29">
        <v>40.181268882175225</v>
      </c>
      <c r="F381" s="29">
        <v>198</v>
      </c>
      <c r="G381" s="29">
        <v>59.818731117824775</v>
      </c>
    </row>
    <row r="382" spans="1:7" x14ac:dyDescent="0.3">
      <c r="A382" s="28">
        <v>42461</v>
      </c>
      <c r="B382" s="29" t="s">
        <v>27</v>
      </c>
      <c r="C382" s="29">
        <v>18</v>
      </c>
      <c r="D382" s="29">
        <v>3.7222222222222223</v>
      </c>
      <c r="E382" s="29">
        <v>27.777777777777779</v>
      </c>
      <c r="F382" s="29">
        <v>13</v>
      </c>
      <c r="G382" s="29">
        <v>72.222222222222214</v>
      </c>
    </row>
    <row r="383" spans="1:7" x14ac:dyDescent="0.3">
      <c r="A383" s="26">
        <v>42461</v>
      </c>
      <c r="B383" s="27" t="s">
        <v>28</v>
      </c>
      <c r="C383" s="27">
        <v>39</v>
      </c>
      <c r="D383" s="27">
        <v>3.641025641025641</v>
      </c>
      <c r="E383" s="27">
        <v>48.717948717948715</v>
      </c>
      <c r="F383" s="27">
        <v>20</v>
      </c>
      <c r="G383" s="27">
        <v>51.282051282051277</v>
      </c>
    </row>
    <row r="384" spans="1:7" x14ac:dyDescent="0.3">
      <c r="A384" s="28">
        <v>42461</v>
      </c>
      <c r="B384" s="29" t="s">
        <v>29</v>
      </c>
      <c r="C384" s="29">
        <v>429</v>
      </c>
      <c r="D384" s="29">
        <v>3.5314685314685317</v>
      </c>
      <c r="E384" s="29">
        <v>42.890442890442891</v>
      </c>
      <c r="F384" s="29">
        <v>245</v>
      </c>
      <c r="G384" s="29">
        <v>57.109557109557109</v>
      </c>
    </row>
    <row r="385" spans="1:7" x14ac:dyDescent="0.3">
      <c r="A385" s="28">
        <v>42461</v>
      </c>
      <c r="B385" s="29" t="s">
        <v>30</v>
      </c>
      <c r="C385" s="29">
        <v>613</v>
      </c>
      <c r="D385" s="29">
        <v>3.3866231647634586</v>
      </c>
      <c r="E385" s="29">
        <v>44.371941272430668</v>
      </c>
      <c r="F385" s="29">
        <v>341</v>
      </c>
      <c r="G385" s="29">
        <v>55.628058727569332</v>
      </c>
    </row>
    <row r="386" spans="1:7" x14ac:dyDescent="0.3">
      <c r="A386" s="26">
        <v>42491</v>
      </c>
      <c r="B386" s="27" t="s">
        <v>7</v>
      </c>
      <c r="C386" s="27">
        <v>77</v>
      </c>
      <c r="D386" s="27">
        <v>3.3376623376623376</v>
      </c>
      <c r="E386" s="27">
        <v>45.454545454545453</v>
      </c>
      <c r="F386" s="27">
        <v>42</v>
      </c>
      <c r="G386" s="27">
        <v>54.54545454545454</v>
      </c>
    </row>
    <row r="387" spans="1:7" x14ac:dyDescent="0.3">
      <c r="A387" s="28">
        <v>42491</v>
      </c>
      <c r="B387" s="29" t="s">
        <v>8</v>
      </c>
      <c r="C387" s="29">
        <v>22</v>
      </c>
      <c r="D387" s="29">
        <v>3.5454545454545454</v>
      </c>
      <c r="E387" s="29">
        <v>40.909090909090914</v>
      </c>
      <c r="F387" s="29">
        <v>13</v>
      </c>
      <c r="G387" s="29">
        <v>59.090909090909093</v>
      </c>
    </row>
    <row r="388" spans="1:7" x14ac:dyDescent="0.3">
      <c r="A388" s="28">
        <v>42491</v>
      </c>
      <c r="B388" s="29" t="s">
        <v>9</v>
      </c>
      <c r="C388" s="29">
        <v>12</v>
      </c>
      <c r="D388" s="29">
        <v>4</v>
      </c>
      <c r="E388" s="29">
        <v>33.333333333333329</v>
      </c>
      <c r="F388" s="29">
        <v>8</v>
      </c>
      <c r="G388" s="29">
        <v>66.666666666666657</v>
      </c>
    </row>
    <row r="389" spans="1:7" x14ac:dyDescent="0.3">
      <c r="A389" s="26">
        <v>42491</v>
      </c>
      <c r="B389" s="27" t="s">
        <v>10</v>
      </c>
      <c r="C389" s="27">
        <v>426</v>
      </c>
      <c r="D389" s="27">
        <v>3.375586854460094</v>
      </c>
      <c r="E389" s="27">
        <v>46.713615023474183</v>
      </c>
      <c r="F389" s="27">
        <v>227</v>
      </c>
      <c r="G389" s="27">
        <v>53.286384976525824</v>
      </c>
    </row>
    <row r="390" spans="1:7" x14ac:dyDescent="0.3">
      <c r="A390" s="28">
        <v>42491</v>
      </c>
      <c r="B390" s="29" t="s">
        <v>11</v>
      </c>
      <c r="C390" s="29">
        <v>325</v>
      </c>
      <c r="D390" s="29">
        <v>3.48</v>
      </c>
      <c r="E390" s="29">
        <v>40.92307692307692</v>
      </c>
      <c r="F390" s="29">
        <v>192</v>
      </c>
      <c r="G390" s="29">
        <v>59.07692307692308</v>
      </c>
    </row>
    <row r="391" spans="1:7" x14ac:dyDescent="0.3">
      <c r="A391" s="28">
        <v>42491</v>
      </c>
      <c r="B391" s="29" t="s">
        <v>12</v>
      </c>
      <c r="C391" s="29">
        <v>802</v>
      </c>
      <c r="D391" s="29">
        <v>3.5586034912718203</v>
      </c>
      <c r="E391" s="29">
        <v>41.895261845386536</v>
      </c>
      <c r="F391" s="29">
        <v>466</v>
      </c>
      <c r="G391" s="29">
        <v>58.104738154613464</v>
      </c>
    </row>
    <row r="392" spans="1:7" x14ac:dyDescent="0.3">
      <c r="A392" s="26">
        <v>42491</v>
      </c>
      <c r="B392" s="27" t="s">
        <v>13</v>
      </c>
      <c r="C392" s="27">
        <v>110</v>
      </c>
      <c r="D392" s="27">
        <v>3.1545454545454548</v>
      </c>
      <c r="E392" s="27">
        <v>48.18181818181818</v>
      </c>
      <c r="F392" s="27">
        <v>57</v>
      </c>
      <c r="G392" s="27">
        <v>51.81818181818182</v>
      </c>
    </row>
    <row r="393" spans="1:7" x14ac:dyDescent="0.3">
      <c r="A393" s="26">
        <v>42491</v>
      </c>
      <c r="B393" s="27" t="s">
        <v>14</v>
      </c>
      <c r="C393" s="27">
        <v>502</v>
      </c>
      <c r="D393" s="27">
        <v>3.310756972111554</v>
      </c>
      <c r="E393" s="27">
        <v>49.402390438247011</v>
      </c>
      <c r="F393" s="27">
        <v>254</v>
      </c>
      <c r="G393" s="27">
        <v>50.597609561752989</v>
      </c>
    </row>
    <row r="394" spans="1:7" x14ac:dyDescent="0.3">
      <c r="A394" s="26">
        <v>42491</v>
      </c>
      <c r="B394" s="27" t="s">
        <v>15</v>
      </c>
      <c r="C394" s="27">
        <v>13</v>
      </c>
      <c r="D394" s="27">
        <v>3.2307692307692308</v>
      </c>
      <c r="E394" s="27">
        <v>46.153846153846153</v>
      </c>
      <c r="F394" s="27">
        <v>7</v>
      </c>
      <c r="G394" s="27">
        <v>53.846153846153847</v>
      </c>
    </row>
    <row r="395" spans="1:7" x14ac:dyDescent="0.3">
      <c r="A395" s="26">
        <v>42491</v>
      </c>
      <c r="B395" s="27" t="s">
        <v>16</v>
      </c>
      <c r="C395" s="27">
        <v>49</v>
      </c>
      <c r="D395" s="27">
        <v>3.2448979591836733</v>
      </c>
      <c r="E395" s="27">
        <v>61.224489795918366</v>
      </c>
      <c r="F395" s="27">
        <v>19</v>
      </c>
      <c r="G395" s="27">
        <v>38.775510204081634</v>
      </c>
    </row>
    <row r="396" spans="1:7" x14ac:dyDescent="0.3">
      <c r="A396" s="26">
        <v>42491</v>
      </c>
      <c r="B396" s="27" t="s">
        <v>17</v>
      </c>
      <c r="C396" s="27">
        <v>11</v>
      </c>
      <c r="D396" s="27">
        <v>3.5454545454545454</v>
      </c>
      <c r="E396" s="27">
        <v>54.54545454545454</v>
      </c>
      <c r="F396" s="27">
        <v>5</v>
      </c>
      <c r="G396" s="27">
        <v>45.454545454545453</v>
      </c>
    </row>
    <row r="397" spans="1:7" x14ac:dyDescent="0.3">
      <c r="A397" s="26">
        <v>42491</v>
      </c>
      <c r="B397" s="27" t="s">
        <v>18</v>
      </c>
      <c r="C397" s="27">
        <v>50</v>
      </c>
      <c r="D397" s="27">
        <v>3.1</v>
      </c>
      <c r="E397" s="27">
        <v>64</v>
      </c>
      <c r="F397" s="27">
        <v>18</v>
      </c>
      <c r="G397" s="27">
        <v>36</v>
      </c>
    </row>
    <row r="398" spans="1:7" x14ac:dyDescent="0.3">
      <c r="A398" s="28">
        <v>42491</v>
      </c>
      <c r="B398" s="29" t="s">
        <v>19</v>
      </c>
      <c r="C398" s="29">
        <v>33</v>
      </c>
      <c r="D398" s="29">
        <v>3.8181818181818183</v>
      </c>
      <c r="E398" s="29">
        <v>39.393939393939391</v>
      </c>
      <c r="F398" s="29">
        <v>20</v>
      </c>
      <c r="G398" s="29">
        <v>60.606060606060609</v>
      </c>
    </row>
    <row r="399" spans="1:7" x14ac:dyDescent="0.3">
      <c r="A399" s="26">
        <v>42491</v>
      </c>
      <c r="B399" s="27" t="s">
        <v>20</v>
      </c>
      <c r="C399" s="27">
        <v>14</v>
      </c>
      <c r="D399" s="27">
        <v>3.1428571428571428</v>
      </c>
      <c r="E399" s="27">
        <v>57.142857142857139</v>
      </c>
      <c r="F399" s="27">
        <v>6</v>
      </c>
      <c r="G399" s="27">
        <v>42.857142857142854</v>
      </c>
    </row>
    <row r="400" spans="1:7" x14ac:dyDescent="0.3">
      <c r="A400" s="26">
        <v>42491</v>
      </c>
      <c r="B400" s="27" t="s">
        <v>21</v>
      </c>
      <c r="C400" s="27">
        <v>21</v>
      </c>
      <c r="D400" s="27">
        <v>3.3809523809523809</v>
      </c>
      <c r="E400" s="27">
        <v>47.619047619047613</v>
      </c>
      <c r="F400" s="27">
        <v>11</v>
      </c>
      <c r="G400" s="27">
        <v>52.380952380952387</v>
      </c>
    </row>
    <row r="401" spans="1:7" x14ac:dyDescent="0.3">
      <c r="A401" s="28">
        <v>42491</v>
      </c>
      <c r="B401" s="29" t="s">
        <v>22</v>
      </c>
      <c r="C401" s="29">
        <v>8</v>
      </c>
      <c r="D401" s="29">
        <v>3.125</v>
      </c>
      <c r="E401" s="29">
        <v>12.5</v>
      </c>
      <c r="F401" s="29">
        <v>7</v>
      </c>
      <c r="G401" s="29">
        <v>87.5</v>
      </c>
    </row>
    <row r="402" spans="1:7" x14ac:dyDescent="0.3">
      <c r="A402" s="26">
        <v>42491</v>
      </c>
      <c r="B402" s="27" t="s">
        <v>23</v>
      </c>
      <c r="C402" s="27">
        <v>599</v>
      </c>
      <c r="D402" s="27">
        <v>3.4056761268781304</v>
      </c>
      <c r="E402" s="27">
        <v>45.075125208681129</v>
      </c>
      <c r="F402" s="27">
        <v>329</v>
      </c>
      <c r="G402" s="27">
        <v>54.924874791318871</v>
      </c>
    </row>
    <row r="403" spans="1:7" x14ac:dyDescent="0.3">
      <c r="A403" s="26">
        <v>42491</v>
      </c>
      <c r="B403" s="27" t="s">
        <v>24</v>
      </c>
      <c r="C403" s="27">
        <v>6</v>
      </c>
      <c r="D403" s="27">
        <v>3.8333333333333335</v>
      </c>
      <c r="E403" s="27">
        <v>50</v>
      </c>
      <c r="F403" s="27">
        <v>3</v>
      </c>
      <c r="G403" s="27">
        <v>50</v>
      </c>
    </row>
    <row r="404" spans="1:7" x14ac:dyDescent="0.3">
      <c r="A404" s="28">
        <v>42491</v>
      </c>
      <c r="B404" s="29" t="s">
        <v>25</v>
      </c>
      <c r="C404" s="29">
        <v>677</v>
      </c>
      <c r="D404" s="29">
        <v>3.4903988183161005</v>
      </c>
      <c r="E404" s="29">
        <v>44.165435745937963</v>
      </c>
      <c r="F404" s="29">
        <v>378</v>
      </c>
      <c r="G404" s="29">
        <v>55.834564254062037</v>
      </c>
    </row>
    <row r="405" spans="1:7" x14ac:dyDescent="0.3">
      <c r="A405" s="28">
        <v>42491</v>
      </c>
      <c r="B405" s="29" t="s">
        <v>26</v>
      </c>
      <c r="C405" s="29">
        <v>332</v>
      </c>
      <c r="D405" s="29">
        <v>3.5180722891566263</v>
      </c>
      <c r="E405" s="29">
        <v>42.771084337349393</v>
      </c>
      <c r="F405" s="29">
        <v>190</v>
      </c>
      <c r="G405" s="29">
        <v>57.228915662650607</v>
      </c>
    </row>
    <row r="406" spans="1:7" x14ac:dyDescent="0.3">
      <c r="A406" s="28">
        <v>42491</v>
      </c>
      <c r="B406" s="29" t="s">
        <v>27</v>
      </c>
      <c r="C406" s="29">
        <v>10</v>
      </c>
      <c r="D406" s="29">
        <v>4</v>
      </c>
      <c r="E406" s="29">
        <v>30</v>
      </c>
      <c r="F406" s="29">
        <v>7</v>
      </c>
      <c r="G406" s="29">
        <v>70</v>
      </c>
    </row>
    <row r="407" spans="1:7" x14ac:dyDescent="0.3">
      <c r="A407" s="28">
        <v>42491</v>
      </c>
      <c r="B407" s="29" t="s">
        <v>28</v>
      </c>
      <c r="C407" s="29">
        <v>31</v>
      </c>
      <c r="D407" s="29">
        <v>3.032258064516129</v>
      </c>
      <c r="E407" s="29">
        <v>41.935483870967744</v>
      </c>
      <c r="F407" s="29">
        <v>18</v>
      </c>
      <c r="G407" s="29">
        <v>58.064516129032263</v>
      </c>
    </row>
    <row r="408" spans="1:7" x14ac:dyDescent="0.3">
      <c r="A408" s="28">
        <v>42491</v>
      </c>
      <c r="B408" s="29" t="s">
        <v>29</v>
      </c>
      <c r="C408" s="29">
        <v>516</v>
      </c>
      <c r="D408" s="29">
        <v>3.4961240310077519</v>
      </c>
      <c r="E408" s="29">
        <v>44.573643410852718</v>
      </c>
      <c r="F408" s="29">
        <v>286</v>
      </c>
      <c r="G408" s="29">
        <v>55.426356589147282</v>
      </c>
    </row>
    <row r="409" spans="1:7" x14ac:dyDescent="0.3">
      <c r="A409" s="28">
        <v>42491</v>
      </c>
      <c r="B409" s="29" t="s">
        <v>30</v>
      </c>
      <c r="C409" s="29">
        <v>656</v>
      </c>
      <c r="D409" s="29">
        <v>3.4405487804878048</v>
      </c>
      <c r="E409" s="29">
        <v>42.378048780487802</v>
      </c>
      <c r="F409" s="29">
        <v>378</v>
      </c>
      <c r="G409" s="29">
        <v>57.621951219512191</v>
      </c>
    </row>
    <row r="410" spans="1:7" x14ac:dyDescent="0.3">
      <c r="A410" s="28">
        <v>42522</v>
      </c>
      <c r="B410" s="29" t="s">
        <v>7</v>
      </c>
      <c r="C410" s="29">
        <v>56</v>
      </c>
      <c r="D410" s="29">
        <v>3.375</v>
      </c>
      <c r="E410" s="29">
        <v>37.5</v>
      </c>
      <c r="F410" s="29">
        <v>35</v>
      </c>
      <c r="G410" s="29">
        <v>62.5</v>
      </c>
    </row>
    <row r="411" spans="1:7" x14ac:dyDescent="0.3">
      <c r="A411" s="26">
        <v>42522</v>
      </c>
      <c r="B411" s="27" t="s">
        <v>8</v>
      </c>
      <c r="C411" s="27">
        <v>13</v>
      </c>
      <c r="D411" s="27">
        <v>3.6923076923076925</v>
      </c>
      <c r="E411" s="27">
        <v>46.153846153846153</v>
      </c>
      <c r="F411" s="27">
        <v>7</v>
      </c>
      <c r="G411" s="27">
        <v>53.846153846153847</v>
      </c>
    </row>
    <row r="412" spans="1:7" x14ac:dyDescent="0.3">
      <c r="A412" s="26">
        <v>42522</v>
      </c>
      <c r="B412" s="27" t="s">
        <v>9</v>
      </c>
      <c r="C412" s="27">
        <v>11</v>
      </c>
      <c r="D412" s="27">
        <v>2.8181818181818183</v>
      </c>
      <c r="E412" s="27">
        <v>45.454545454545453</v>
      </c>
      <c r="F412" s="27">
        <v>6</v>
      </c>
      <c r="G412" s="27">
        <v>54.54545454545454</v>
      </c>
    </row>
    <row r="413" spans="1:7" x14ac:dyDescent="0.3">
      <c r="A413" s="26">
        <v>42522</v>
      </c>
      <c r="B413" s="27" t="s">
        <v>10</v>
      </c>
      <c r="C413" s="27">
        <v>421</v>
      </c>
      <c r="D413" s="27">
        <v>3.4893111638954868</v>
      </c>
      <c r="E413" s="27">
        <v>45.605700712589076</v>
      </c>
      <c r="F413" s="27">
        <v>229</v>
      </c>
      <c r="G413" s="27">
        <v>54.394299287410931</v>
      </c>
    </row>
    <row r="414" spans="1:7" x14ac:dyDescent="0.3">
      <c r="A414" s="26">
        <v>42522</v>
      </c>
      <c r="B414" s="27" t="s">
        <v>11</v>
      </c>
      <c r="C414" s="27">
        <v>360</v>
      </c>
      <c r="D414" s="27">
        <v>3.5138888888888888</v>
      </c>
      <c r="E414" s="27">
        <v>47.222222222222221</v>
      </c>
      <c r="F414" s="27">
        <v>190</v>
      </c>
      <c r="G414" s="27">
        <v>52.777777777777779</v>
      </c>
    </row>
    <row r="415" spans="1:7" x14ac:dyDescent="0.3">
      <c r="A415" s="28">
        <v>42522</v>
      </c>
      <c r="B415" s="29" t="s">
        <v>12</v>
      </c>
      <c r="C415" s="29">
        <v>728</v>
      </c>
      <c r="D415" s="29">
        <v>3.5192307692307692</v>
      </c>
      <c r="E415" s="29">
        <v>44.230769230769226</v>
      </c>
      <c r="F415" s="29">
        <v>406</v>
      </c>
      <c r="G415" s="29">
        <v>55.769230769230774</v>
      </c>
    </row>
    <row r="416" spans="1:7" x14ac:dyDescent="0.3">
      <c r="A416" s="26">
        <v>42522</v>
      </c>
      <c r="B416" s="27" t="s">
        <v>13</v>
      </c>
      <c r="C416" s="27">
        <v>117</v>
      </c>
      <c r="D416" s="27">
        <v>3.3675213675213675</v>
      </c>
      <c r="E416" s="27">
        <v>45.299145299145302</v>
      </c>
      <c r="F416" s="27">
        <v>64</v>
      </c>
      <c r="G416" s="27">
        <v>54.700854700854705</v>
      </c>
    </row>
    <row r="417" spans="1:7" x14ac:dyDescent="0.3">
      <c r="A417" s="28">
        <v>42522</v>
      </c>
      <c r="B417" s="29" t="s">
        <v>14</v>
      </c>
      <c r="C417" s="29">
        <v>546</v>
      </c>
      <c r="D417" s="29">
        <v>3.5329670329670328</v>
      </c>
      <c r="E417" s="29">
        <v>41.208791208791204</v>
      </c>
      <c r="F417" s="29">
        <v>321</v>
      </c>
      <c r="G417" s="29">
        <v>58.791208791208796</v>
      </c>
    </row>
    <row r="418" spans="1:7" x14ac:dyDescent="0.3">
      <c r="A418" s="28">
        <v>42522</v>
      </c>
      <c r="B418" s="29" t="s">
        <v>15</v>
      </c>
      <c r="C418" s="29">
        <v>6</v>
      </c>
      <c r="D418" s="29">
        <v>4</v>
      </c>
      <c r="E418" s="29">
        <v>33.333333333333329</v>
      </c>
      <c r="F418" s="29">
        <v>4</v>
      </c>
      <c r="G418" s="29">
        <v>66.666666666666657</v>
      </c>
    </row>
    <row r="419" spans="1:7" x14ac:dyDescent="0.3">
      <c r="A419" s="28">
        <v>42522</v>
      </c>
      <c r="B419" s="29" t="s">
        <v>16</v>
      </c>
      <c r="C419" s="29">
        <v>49</v>
      </c>
      <c r="D419" s="29">
        <v>3.510204081632653</v>
      </c>
      <c r="E419" s="29">
        <v>40.816326530612244</v>
      </c>
      <c r="F419" s="29">
        <v>29</v>
      </c>
      <c r="G419" s="29">
        <v>59.183673469387756</v>
      </c>
    </row>
    <row r="420" spans="1:7" x14ac:dyDescent="0.3">
      <c r="A420" s="28">
        <v>42522</v>
      </c>
      <c r="B420" s="29" t="s">
        <v>17</v>
      </c>
      <c r="C420" s="29">
        <v>9</v>
      </c>
      <c r="D420" s="29">
        <v>3.6666666666666665</v>
      </c>
      <c r="E420" s="29">
        <v>33.333333333333329</v>
      </c>
      <c r="F420" s="29">
        <v>6</v>
      </c>
      <c r="G420" s="29">
        <v>66.666666666666657</v>
      </c>
    </row>
    <row r="421" spans="1:7" x14ac:dyDescent="0.3">
      <c r="A421" s="26">
        <v>42522</v>
      </c>
      <c r="B421" s="27" t="s">
        <v>18</v>
      </c>
      <c r="C421" s="27">
        <v>53</v>
      </c>
      <c r="D421" s="27">
        <v>3.2830188679245285</v>
      </c>
      <c r="E421" s="27">
        <v>50.943396226415096</v>
      </c>
      <c r="F421" s="27">
        <v>26</v>
      </c>
      <c r="G421" s="27">
        <v>49.056603773584904</v>
      </c>
    </row>
    <row r="422" spans="1:7" x14ac:dyDescent="0.3">
      <c r="A422" s="26">
        <v>42522</v>
      </c>
      <c r="B422" s="27" t="s">
        <v>19</v>
      </c>
      <c r="C422" s="27">
        <v>27</v>
      </c>
      <c r="D422" s="27">
        <v>3.0370370370370372</v>
      </c>
      <c r="E422" s="27">
        <v>59.259259259259252</v>
      </c>
      <c r="F422" s="27">
        <v>11</v>
      </c>
      <c r="G422" s="27">
        <v>40.74074074074074</v>
      </c>
    </row>
    <row r="423" spans="1:7" x14ac:dyDescent="0.3">
      <c r="A423" s="28">
        <v>42522</v>
      </c>
      <c r="B423" s="29" t="s">
        <v>20</v>
      </c>
      <c r="C423" s="29">
        <v>11</v>
      </c>
      <c r="D423" s="29">
        <v>3.1818181818181817</v>
      </c>
      <c r="E423" s="29">
        <v>36.363636363636367</v>
      </c>
      <c r="F423" s="29">
        <v>7</v>
      </c>
      <c r="G423" s="29">
        <v>63.636363636363633</v>
      </c>
    </row>
    <row r="424" spans="1:7" x14ac:dyDescent="0.3">
      <c r="A424" s="26">
        <v>42522</v>
      </c>
      <c r="B424" s="27" t="s">
        <v>21</v>
      </c>
      <c r="C424" s="27">
        <v>20</v>
      </c>
      <c r="D424" s="27">
        <v>3.15</v>
      </c>
      <c r="E424" s="27">
        <v>55.000000000000007</v>
      </c>
      <c r="F424" s="27">
        <v>9</v>
      </c>
      <c r="G424" s="27">
        <v>45</v>
      </c>
    </row>
    <row r="425" spans="1:7" x14ac:dyDescent="0.3">
      <c r="A425" s="26">
        <v>42522</v>
      </c>
      <c r="B425" s="27" t="s">
        <v>22</v>
      </c>
      <c r="C425" s="27">
        <v>11</v>
      </c>
      <c r="D425" s="27">
        <v>3</v>
      </c>
      <c r="E425" s="27">
        <v>72.727272727272734</v>
      </c>
      <c r="F425" s="27">
        <v>3</v>
      </c>
      <c r="G425" s="27">
        <v>27.27272727272727</v>
      </c>
    </row>
    <row r="426" spans="1:7" x14ac:dyDescent="0.3">
      <c r="A426" s="26">
        <v>42522</v>
      </c>
      <c r="B426" s="27" t="s">
        <v>23</v>
      </c>
      <c r="C426" s="27">
        <v>525</v>
      </c>
      <c r="D426" s="27">
        <v>3.4723809523809526</v>
      </c>
      <c r="E426" s="27">
        <v>47.238095238095241</v>
      </c>
      <c r="F426" s="27">
        <v>277</v>
      </c>
      <c r="G426" s="27">
        <v>52.761904761904766</v>
      </c>
    </row>
    <row r="427" spans="1:7" x14ac:dyDescent="0.3">
      <c r="A427" s="26">
        <v>42522</v>
      </c>
      <c r="B427" s="27" t="s">
        <v>24</v>
      </c>
      <c r="C427" s="27">
        <v>11</v>
      </c>
      <c r="D427" s="27">
        <v>2.3636363636363638</v>
      </c>
      <c r="E427" s="27">
        <v>54.54545454545454</v>
      </c>
      <c r="F427" s="27">
        <v>5</v>
      </c>
      <c r="G427" s="27">
        <v>45.454545454545453</v>
      </c>
    </row>
    <row r="428" spans="1:7" x14ac:dyDescent="0.3">
      <c r="A428" s="28">
        <v>42522</v>
      </c>
      <c r="B428" s="29" t="s">
        <v>25</v>
      </c>
      <c r="C428" s="29">
        <v>672</v>
      </c>
      <c r="D428" s="29">
        <v>3.5446428571428572</v>
      </c>
      <c r="E428" s="29">
        <v>42.261904761904759</v>
      </c>
      <c r="F428" s="29">
        <v>388</v>
      </c>
      <c r="G428" s="29">
        <v>57.738095238095234</v>
      </c>
    </row>
    <row r="429" spans="1:7" x14ac:dyDescent="0.3">
      <c r="A429" s="28">
        <v>42522</v>
      </c>
      <c r="B429" s="29" t="s">
        <v>26</v>
      </c>
      <c r="C429" s="29">
        <v>321</v>
      </c>
      <c r="D429" s="29">
        <v>3.5264797507788161</v>
      </c>
      <c r="E429" s="29">
        <v>43.302180685358252</v>
      </c>
      <c r="F429" s="29">
        <v>182</v>
      </c>
      <c r="G429" s="29">
        <v>56.697819314641741</v>
      </c>
    </row>
    <row r="430" spans="1:7" x14ac:dyDescent="0.3">
      <c r="A430" s="28">
        <v>42522</v>
      </c>
      <c r="B430" s="29" t="s">
        <v>27</v>
      </c>
      <c r="C430" s="29">
        <v>14</v>
      </c>
      <c r="D430" s="29">
        <v>3.0714285714285716</v>
      </c>
      <c r="E430" s="29">
        <v>42.857142857142854</v>
      </c>
      <c r="F430" s="29">
        <v>8</v>
      </c>
      <c r="G430" s="29">
        <v>57.142857142857139</v>
      </c>
    </row>
    <row r="431" spans="1:7" x14ac:dyDescent="0.3">
      <c r="A431" s="28">
        <v>42522</v>
      </c>
      <c r="B431" s="29" t="s">
        <v>28</v>
      </c>
      <c r="C431" s="29">
        <v>23</v>
      </c>
      <c r="D431" s="29">
        <v>3.3913043478260869</v>
      </c>
      <c r="E431" s="29">
        <v>39.130434782608695</v>
      </c>
      <c r="F431" s="29">
        <v>14</v>
      </c>
      <c r="G431" s="29">
        <v>60.869565217391312</v>
      </c>
    </row>
    <row r="432" spans="1:7" x14ac:dyDescent="0.3">
      <c r="A432" s="26">
        <v>42522</v>
      </c>
      <c r="B432" s="27" t="s">
        <v>29</v>
      </c>
      <c r="C432" s="27">
        <v>411</v>
      </c>
      <c r="D432" s="27">
        <v>3.6180048661800486</v>
      </c>
      <c r="E432" s="27">
        <v>45.012165450121657</v>
      </c>
      <c r="F432" s="27">
        <v>226</v>
      </c>
      <c r="G432" s="27">
        <v>54.987834549878343</v>
      </c>
    </row>
    <row r="433" spans="1:7" x14ac:dyDescent="0.3">
      <c r="A433" s="28">
        <v>42522</v>
      </c>
      <c r="B433" s="29" t="s">
        <v>30</v>
      </c>
      <c r="C433" s="29">
        <v>639</v>
      </c>
      <c r="D433" s="29">
        <v>3.5805946791862286</v>
      </c>
      <c r="E433" s="29">
        <v>41.627543035993739</v>
      </c>
      <c r="F433" s="29">
        <v>373</v>
      </c>
      <c r="G433" s="29">
        <v>58.372456964006261</v>
      </c>
    </row>
    <row r="434" spans="1:7" x14ac:dyDescent="0.3">
      <c r="A434" s="26">
        <v>42552</v>
      </c>
      <c r="B434" s="27" t="s">
        <v>7</v>
      </c>
      <c r="C434" s="27">
        <v>61</v>
      </c>
      <c r="D434" s="27">
        <v>3.7704918032786887</v>
      </c>
      <c r="E434" s="27">
        <v>47.540983606557376</v>
      </c>
      <c r="F434" s="27">
        <v>32</v>
      </c>
      <c r="G434" s="27">
        <v>52.459016393442624</v>
      </c>
    </row>
    <row r="435" spans="1:7" x14ac:dyDescent="0.3">
      <c r="A435" s="26">
        <v>42552</v>
      </c>
      <c r="B435" s="27" t="s">
        <v>8</v>
      </c>
      <c r="C435" s="27">
        <v>36</v>
      </c>
      <c r="D435" s="27">
        <v>3.4444444444444446</v>
      </c>
      <c r="E435" s="27">
        <v>50</v>
      </c>
      <c r="F435" s="27">
        <v>18</v>
      </c>
      <c r="G435" s="27">
        <v>50</v>
      </c>
    </row>
    <row r="436" spans="1:7" x14ac:dyDescent="0.3">
      <c r="A436" s="28">
        <v>42552</v>
      </c>
      <c r="B436" s="29" t="s">
        <v>9</v>
      </c>
      <c r="C436" s="29">
        <v>14</v>
      </c>
      <c r="D436" s="29">
        <v>3.2142857142857144</v>
      </c>
      <c r="E436" s="29">
        <v>21.428571428571427</v>
      </c>
      <c r="F436" s="29">
        <v>11</v>
      </c>
      <c r="G436" s="29">
        <v>78.571428571428569</v>
      </c>
    </row>
    <row r="437" spans="1:7" x14ac:dyDescent="0.3">
      <c r="A437" s="26">
        <v>42552</v>
      </c>
      <c r="B437" s="27" t="s">
        <v>10</v>
      </c>
      <c r="C437" s="27">
        <v>418</v>
      </c>
      <c r="D437" s="27">
        <v>3.4043062200956937</v>
      </c>
      <c r="E437" s="27">
        <v>45.215311004784688</v>
      </c>
      <c r="F437" s="27">
        <v>229</v>
      </c>
      <c r="G437" s="27">
        <v>54.784688995215312</v>
      </c>
    </row>
    <row r="438" spans="1:7" x14ac:dyDescent="0.3">
      <c r="A438" s="26">
        <v>42552</v>
      </c>
      <c r="B438" s="27" t="s">
        <v>11</v>
      </c>
      <c r="C438" s="27">
        <v>375</v>
      </c>
      <c r="D438" s="27">
        <v>3.4266666666666667</v>
      </c>
      <c r="E438" s="27">
        <v>53.333333333333336</v>
      </c>
      <c r="F438" s="27">
        <v>175</v>
      </c>
      <c r="G438" s="27">
        <v>46.666666666666664</v>
      </c>
    </row>
    <row r="439" spans="1:7" x14ac:dyDescent="0.3">
      <c r="A439" s="26">
        <v>42552</v>
      </c>
      <c r="B439" s="27" t="s">
        <v>12</v>
      </c>
      <c r="C439" s="27">
        <v>728</v>
      </c>
      <c r="D439" s="27">
        <v>3.4189560439560438</v>
      </c>
      <c r="E439" s="27">
        <v>47.664835164835168</v>
      </c>
      <c r="F439" s="27">
        <v>381</v>
      </c>
      <c r="G439" s="27">
        <v>52.335164835164839</v>
      </c>
    </row>
    <row r="440" spans="1:7" x14ac:dyDescent="0.3">
      <c r="A440" s="28">
        <v>42552</v>
      </c>
      <c r="B440" s="29" t="s">
        <v>13</v>
      </c>
      <c r="C440" s="29">
        <v>114</v>
      </c>
      <c r="D440" s="29">
        <v>3.4561403508771931</v>
      </c>
      <c r="E440" s="29">
        <v>38.596491228070171</v>
      </c>
      <c r="F440" s="29">
        <v>70</v>
      </c>
      <c r="G440" s="29">
        <v>61.403508771929829</v>
      </c>
    </row>
    <row r="441" spans="1:7" x14ac:dyDescent="0.3">
      <c r="A441" s="26">
        <v>42552</v>
      </c>
      <c r="B441" s="27" t="s">
        <v>14</v>
      </c>
      <c r="C441" s="27">
        <v>523</v>
      </c>
      <c r="D441" s="27">
        <v>3.434034416826004</v>
      </c>
      <c r="E441" s="27">
        <v>45.506692160611856</v>
      </c>
      <c r="F441" s="27">
        <v>285</v>
      </c>
      <c r="G441" s="27">
        <v>54.493307839388152</v>
      </c>
    </row>
    <row r="442" spans="1:7" x14ac:dyDescent="0.3">
      <c r="A442" s="28">
        <v>42552</v>
      </c>
      <c r="B442" s="29" t="s">
        <v>15</v>
      </c>
      <c r="C442" s="29">
        <v>8</v>
      </c>
      <c r="D442" s="29">
        <v>3.875</v>
      </c>
      <c r="E442" s="29">
        <v>25</v>
      </c>
      <c r="F442" s="29">
        <v>6</v>
      </c>
      <c r="G442" s="29">
        <v>75</v>
      </c>
    </row>
    <row r="443" spans="1:7" x14ac:dyDescent="0.3">
      <c r="A443" s="28">
        <v>42552</v>
      </c>
      <c r="B443" s="29" t="s">
        <v>16</v>
      </c>
      <c r="C443" s="29">
        <v>46</v>
      </c>
      <c r="D443" s="29">
        <v>3.0434782608695654</v>
      </c>
      <c r="E443" s="29">
        <v>43.478260869565219</v>
      </c>
      <c r="F443" s="29">
        <v>26</v>
      </c>
      <c r="G443" s="29">
        <v>56.521739130434781</v>
      </c>
    </row>
    <row r="444" spans="1:7" x14ac:dyDescent="0.3">
      <c r="A444" s="28">
        <v>42552</v>
      </c>
      <c r="B444" s="29" t="s">
        <v>17</v>
      </c>
      <c r="C444" s="29">
        <v>11</v>
      </c>
      <c r="D444" s="29">
        <v>3.8181818181818183</v>
      </c>
      <c r="E444" s="29">
        <v>36.363636363636367</v>
      </c>
      <c r="F444" s="29">
        <v>7</v>
      </c>
      <c r="G444" s="29">
        <v>63.636363636363633</v>
      </c>
    </row>
    <row r="445" spans="1:7" x14ac:dyDescent="0.3">
      <c r="A445" s="28">
        <v>42552</v>
      </c>
      <c r="B445" s="29" t="s">
        <v>18</v>
      </c>
      <c r="C445" s="29">
        <v>51</v>
      </c>
      <c r="D445" s="29">
        <v>3.5686274509803924</v>
      </c>
      <c r="E445" s="29">
        <v>43.137254901960787</v>
      </c>
      <c r="F445" s="29">
        <v>29</v>
      </c>
      <c r="G445" s="29">
        <v>56.862745098039213</v>
      </c>
    </row>
    <row r="446" spans="1:7" x14ac:dyDescent="0.3">
      <c r="A446" s="26">
        <v>42552</v>
      </c>
      <c r="B446" s="27" t="s">
        <v>19</v>
      </c>
      <c r="C446" s="27">
        <v>26</v>
      </c>
      <c r="D446" s="27">
        <v>3.3846153846153846</v>
      </c>
      <c r="E446" s="27">
        <v>53.846153846153847</v>
      </c>
      <c r="F446" s="27">
        <v>12</v>
      </c>
      <c r="G446" s="27">
        <v>46.153846153846153</v>
      </c>
    </row>
    <row r="447" spans="1:7" x14ac:dyDescent="0.3">
      <c r="A447" s="26">
        <v>42552</v>
      </c>
      <c r="B447" s="27" t="s">
        <v>20</v>
      </c>
      <c r="C447" s="27">
        <v>11</v>
      </c>
      <c r="D447" s="27">
        <v>2.5454545454545454</v>
      </c>
      <c r="E447" s="27">
        <v>54.54545454545454</v>
      </c>
      <c r="F447" s="27">
        <v>5</v>
      </c>
      <c r="G447" s="27">
        <v>45.454545454545453</v>
      </c>
    </row>
    <row r="448" spans="1:7" x14ac:dyDescent="0.3">
      <c r="A448" s="26">
        <v>42552</v>
      </c>
      <c r="B448" s="27" t="s">
        <v>21</v>
      </c>
      <c r="C448" s="27">
        <v>27</v>
      </c>
      <c r="D448" s="27">
        <v>3.4814814814814814</v>
      </c>
      <c r="E448" s="27">
        <v>51.851851851851848</v>
      </c>
      <c r="F448" s="27">
        <v>13</v>
      </c>
      <c r="G448" s="27">
        <v>48.148148148148145</v>
      </c>
    </row>
    <row r="449" spans="1:7" x14ac:dyDescent="0.3">
      <c r="A449" s="28">
        <v>42552</v>
      </c>
      <c r="B449" s="29" t="s">
        <v>22</v>
      </c>
      <c r="C449" s="29">
        <v>10</v>
      </c>
      <c r="D449" s="29">
        <v>4.3</v>
      </c>
      <c r="E449" s="29">
        <v>30</v>
      </c>
      <c r="F449" s="29">
        <v>7</v>
      </c>
      <c r="G449" s="29">
        <v>70</v>
      </c>
    </row>
    <row r="450" spans="1:7" x14ac:dyDescent="0.3">
      <c r="A450" s="26">
        <v>42552</v>
      </c>
      <c r="B450" s="27" t="s">
        <v>23</v>
      </c>
      <c r="C450" s="27">
        <v>610</v>
      </c>
      <c r="D450" s="27">
        <v>3.3655737704918032</v>
      </c>
      <c r="E450" s="27">
        <v>45.081967213114751</v>
      </c>
      <c r="F450" s="27">
        <v>335</v>
      </c>
      <c r="G450" s="27">
        <v>54.918032786885249</v>
      </c>
    </row>
    <row r="451" spans="1:7" x14ac:dyDescent="0.3">
      <c r="A451" s="28">
        <v>42552</v>
      </c>
      <c r="B451" s="29" t="s">
        <v>24</v>
      </c>
      <c r="C451" s="29">
        <v>9</v>
      </c>
      <c r="D451" s="29">
        <v>4.5555555555555554</v>
      </c>
      <c r="E451" s="29">
        <v>22.222222222222221</v>
      </c>
      <c r="F451" s="29">
        <v>7</v>
      </c>
      <c r="G451" s="29">
        <v>77.777777777777786</v>
      </c>
    </row>
    <row r="452" spans="1:7" x14ac:dyDescent="0.3">
      <c r="A452" s="26">
        <v>42552</v>
      </c>
      <c r="B452" s="27" t="s">
        <v>25</v>
      </c>
      <c r="C452" s="27">
        <v>687</v>
      </c>
      <c r="D452" s="27">
        <v>3.4978165938864629</v>
      </c>
      <c r="E452" s="27">
        <v>45.705967976710333</v>
      </c>
      <c r="F452" s="27">
        <v>373</v>
      </c>
      <c r="G452" s="27">
        <v>54.29403202328966</v>
      </c>
    </row>
    <row r="453" spans="1:7" x14ac:dyDescent="0.3">
      <c r="A453" s="26">
        <v>42552</v>
      </c>
      <c r="B453" s="27" t="s">
        <v>26</v>
      </c>
      <c r="C453" s="27">
        <v>319</v>
      </c>
      <c r="D453" s="27">
        <v>3.3072100313479624</v>
      </c>
      <c r="E453" s="27">
        <v>48.589341692789965</v>
      </c>
      <c r="F453" s="27">
        <v>164</v>
      </c>
      <c r="G453" s="27">
        <v>51.410658307210035</v>
      </c>
    </row>
    <row r="454" spans="1:7" x14ac:dyDescent="0.3">
      <c r="A454" s="26">
        <v>42552</v>
      </c>
      <c r="B454" s="27" t="s">
        <v>27</v>
      </c>
      <c r="C454" s="27">
        <v>14</v>
      </c>
      <c r="D454" s="27">
        <v>3.3571428571428572</v>
      </c>
      <c r="E454" s="27">
        <v>64.285714285714292</v>
      </c>
      <c r="F454" s="27">
        <v>5</v>
      </c>
      <c r="G454" s="27">
        <v>35.714285714285715</v>
      </c>
    </row>
    <row r="455" spans="1:7" x14ac:dyDescent="0.3">
      <c r="A455" s="28">
        <v>42552</v>
      </c>
      <c r="B455" s="29" t="s">
        <v>28</v>
      </c>
      <c r="C455" s="29">
        <v>36</v>
      </c>
      <c r="D455" s="29">
        <v>4.0277777777777777</v>
      </c>
      <c r="E455" s="29">
        <v>36.111111111111107</v>
      </c>
      <c r="F455" s="29">
        <v>23</v>
      </c>
      <c r="G455" s="29">
        <v>63.888888888888886</v>
      </c>
    </row>
    <row r="456" spans="1:7" x14ac:dyDescent="0.3">
      <c r="A456" s="26">
        <v>42552</v>
      </c>
      <c r="B456" s="27" t="s">
        <v>29</v>
      </c>
      <c r="C456" s="27">
        <v>515</v>
      </c>
      <c r="D456" s="27">
        <v>3.4310679611650485</v>
      </c>
      <c r="E456" s="27">
        <v>45.436893203883493</v>
      </c>
      <c r="F456" s="27">
        <v>281</v>
      </c>
      <c r="G456" s="27">
        <v>54.5631067961165</v>
      </c>
    </row>
    <row r="457" spans="1:7" x14ac:dyDescent="0.3">
      <c r="A457" s="26">
        <v>42552</v>
      </c>
      <c r="B457" s="27" t="s">
        <v>30</v>
      </c>
      <c r="C457" s="27">
        <v>656</v>
      </c>
      <c r="D457" s="27">
        <v>3.4039634146341462</v>
      </c>
      <c r="E457" s="27">
        <v>49.542682926829265</v>
      </c>
      <c r="F457" s="27">
        <v>331</v>
      </c>
      <c r="G457" s="27">
        <v>50.457317073170728</v>
      </c>
    </row>
    <row r="458" spans="1:7" x14ac:dyDescent="0.3">
      <c r="A458" s="28">
        <v>42583</v>
      </c>
      <c r="B458" s="29" t="s">
        <v>7</v>
      </c>
      <c r="C458" s="29">
        <v>49</v>
      </c>
      <c r="D458" s="29">
        <v>3.4081632653061225</v>
      </c>
      <c r="E458" s="29">
        <v>36.734693877551024</v>
      </c>
      <c r="F458" s="29">
        <v>31</v>
      </c>
      <c r="G458" s="29">
        <v>63.265306122448983</v>
      </c>
    </row>
    <row r="459" spans="1:7" x14ac:dyDescent="0.3">
      <c r="A459" s="26">
        <v>42583</v>
      </c>
      <c r="B459" s="27" t="s">
        <v>8</v>
      </c>
      <c r="C459" s="27">
        <v>12</v>
      </c>
      <c r="D459" s="27">
        <v>2.8333333333333335</v>
      </c>
      <c r="E459" s="27">
        <v>75</v>
      </c>
      <c r="F459" s="27">
        <v>3</v>
      </c>
      <c r="G459" s="27">
        <v>25</v>
      </c>
    </row>
    <row r="460" spans="1:7" x14ac:dyDescent="0.3">
      <c r="A460" s="26">
        <v>42583</v>
      </c>
      <c r="B460" s="27" t="s">
        <v>9</v>
      </c>
      <c r="C460" s="27">
        <v>15</v>
      </c>
      <c r="D460" s="27">
        <v>3.1333333333333333</v>
      </c>
      <c r="E460" s="27">
        <v>53.333333333333336</v>
      </c>
      <c r="F460" s="27">
        <v>7</v>
      </c>
      <c r="G460" s="27">
        <v>46.666666666666664</v>
      </c>
    </row>
    <row r="461" spans="1:7" x14ac:dyDescent="0.3">
      <c r="A461" s="26">
        <v>42583</v>
      </c>
      <c r="B461" s="27" t="s">
        <v>10</v>
      </c>
      <c r="C461" s="27">
        <v>419</v>
      </c>
      <c r="D461" s="27">
        <v>3.4916467780429596</v>
      </c>
      <c r="E461" s="27">
        <v>46.300715990453462</v>
      </c>
      <c r="F461" s="27">
        <v>225</v>
      </c>
      <c r="G461" s="27">
        <v>53.699284009546545</v>
      </c>
    </row>
    <row r="462" spans="1:7" x14ac:dyDescent="0.3">
      <c r="A462" s="28">
        <v>42583</v>
      </c>
      <c r="B462" s="29" t="s">
        <v>11</v>
      </c>
      <c r="C462" s="29">
        <v>406</v>
      </c>
      <c r="D462" s="29">
        <v>3.3842364532019706</v>
      </c>
      <c r="E462" s="29">
        <v>42.857142857142854</v>
      </c>
      <c r="F462" s="29">
        <v>232</v>
      </c>
      <c r="G462" s="29">
        <v>57.142857142857139</v>
      </c>
    </row>
    <row r="463" spans="1:7" x14ac:dyDescent="0.3">
      <c r="A463" s="28">
        <v>42583</v>
      </c>
      <c r="B463" s="29" t="s">
        <v>12</v>
      </c>
      <c r="C463" s="29">
        <v>761</v>
      </c>
      <c r="D463" s="29">
        <v>3.5873850197109065</v>
      </c>
      <c r="E463" s="29">
        <v>43.363994743758212</v>
      </c>
      <c r="F463" s="29">
        <v>431</v>
      </c>
      <c r="G463" s="29">
        <v>56.636005256241781</v>
      </c>
    </row>
    <row r="464" spans="1:7" x14ac:dyDescent="0.3">
      <c r="A464" s="28">
        <v>42583</v>
      </c>
      <c r="B464" s="29" t="s">
        <v>13</v>
      </c>
      <c r="C464" s="29">
        <v>124</v>
      </c>
      <c r="D464" s="29">
        <v>3.620967741935484</v>
      </c>
      <c r="E464" s="29">
        <v>42.741935483870968</v>
      </c>
      <c r="F464" s="29">
        <v>71</v>
      </c>
      <c r="G464" s="29">
        <v>57.258064516129039</v>
      </c>
    </row>
    <row r="465" spans="1:7" x14ac:dyDescent="0.3">
      <c r="A465" s="26">
        <v>42583</v>
      </c>
      <c r="B465" s="27" t="s">
        <v>14</v>
      </c>
      <c r="C465" s="27">
        <v>534</v>
      </c>
      <c r="D465" s="27">
        <v>3.3764044943820224</v>
      </c>
      <c r="E465" s="27">
        <v>48.50187265917603</v>
      </c>
      <c r="F465" s="27">
        <v>275</v>
      </c>
      <c r="G465" s="27">
        <v>51.49812734082397</v>
      </c>
    </row>
    <row r="466" spans="1:7" x14ac:dyDescent="0.3">
      <c r="A466" s="26">
        <v>42583</v>
      </c>
      <c r="B466" s="27" t="s">
        <v>15</v>
      </c>
      <c r="C466" s="27">
        <v>16</v>
      </c>
      <c r="D466" s="27">
        <v>3.25</v>
      </c>
      <c r="E466" s="27">
        <v>50</v>
      </c>
      <c r="F466" s="27">
        <v>8</v>
      </c>
      <c r="G466" s="27">
        <v>50</v>
      </c>
    </row>
    <row r="467" spans="1:7" x14ac:dyDescent="0.3">
      <c r="A467" s="26">
        <v>42583</v>
      </c>
      <c r="B467" s="27" t="s">
        <v>16</v>
      </c>
      <c r="C467" s="27">
        <v>41</v>
      </c>
      <c r="D467" s="27">
        <v>3.5853658536585367</v>
      </c>
      <c r="E467" s="27">
        <v>46.341463414634148</v>
      </c>
      <c r="F467" s="27">
        <v>22</v>
      </c>
      <c r="G467" s="27">
        <v>53.658536585365859</v>
      </c>
    </row>
    <row r="468" spans="1:7" x14ac:dyDescent="0.3">
      <c r="A468" s="28">
        <v>42583</v>
      </c>
      <c r="B468" s="29" t="s">
        <v>17</v>
      </c>
      <c r="C468" s="29">
        <v>16</v>
      </c>
      <c r="D468" s="29">
        <v>3.625</v>
      </c>
      <c r="E468" s="29">
        <v>43.75</v>
      </c>
      <c r="F468" s="29">
        <v>9</v>
      </c>
      <c r="G468" s="29">
        <v>56.25</v>
      </c>
    </row>
    <row r="469" spans="1:7" x14ac:dyDescent="0.3">
      <c r="A469" s="28">
        <v>42583</v>
      </c>
      <c r="B469" s="29" t="s">
        <v>18</v>
      </c>
      <c r="C469" s="29">
        <v>38</v>
      </c>
      <c r="D469" s="29">
        <v>3.3684210526315788</v>
      </c>
      <c r="E469" s="29">
        <v>44.736842105263158</v>
      </c>
      <c r="F469" s="29">
        <v>21</v>
      </c>
      <c r="G469" s="29">
        <v>55.26315789473685</v>
      </c>
    </row>
    <row r="470" spans="1:7" x14ac:dyDescent="0.3">
      <c r="A470" s="26">
        <v>42583</v>
      </c>
      <c r="B470" s="27" t="s">
        <v>19</v>
      </c>
      <c r="C470" s="27">
        <v>41</v>
      </c>
      <c r="D470" s="27">
        <v>3.6341463414634148</v>
      </c>
      <c r="E470" s="27">
        <v>48.780487804878049</v>
      </c>
      <c r="F470" s="27">
        <v>21</v>
      </c>
      <c r="G470" s="27">
        <v>51.219512195121951</v>
      </c>
    </row>
    <row r="471" spans="1:7" x14ac:dyDescent="0.3">
      <c r="A471" s="28">
        <v>42583</v>
      </c>
      <c r="B471" s="29" t="s">
        <v>20</v>
      </c>
      <c r="C471" s="29">
        <v>11</v>
      </c>
      <c r="D471" s="29">
        <v>4</v>
      </c>
      <c r="E471" s="29">
        <v>36.363636363636367</v>
      </c>
      <c r="F471" s="29">
        <v>7</v>
      </c>
      <c r="G471" s="29">
        <v>63.636363636363633</v>
      </c>
    </row>
    <row r="472" spans="1:7" x14ac:dyDescent="0.3">
      <c r="A472" s="26">
        <v>42583</v>
      </c>
      <c r="B472" s="27" t="s">
        <v>21</v>
      </c>
      <c r="C472" s="27">
        <v>26</v>
      </c>
      <c r="D472" s="27">
        <v>3.6538461538461537</v>
      </c>
      <c r="E472" s="27">
        <v>50</v>
      </c>
      <c r="F472" s="27">
        <v>13</v>
      </c>
      <c r="G472" s="27">
        <v>50</v>
      </c>
    </row>
    <row r="473" spans="1:7" x14ac:dyDescent="0.3">
      <c r="A473" s="28">
        <v>42583</v>
      </c>
      <c r="B473" s="29" t="s">
        <v>22</v>
      </c>
      <c r="C473" s="29">
        <v>11</v>
      </c>
      <c r="D473" s="29">
        <v>3.7272727272727271</v>
      </c>
      <c r="E473" s="29">
        <v>27.27272727272727</v>
      </c>
      <c r="F473" s="29">
        <v>8</v>
      </c>
      <c r="G473" s="29">
        <v>72.727272727272734</v>
      </c>
    </row>
    <row r="474" spans="1:7" x14ac:dyDescent="0.3">
      <c r="A474" s="26">
        <v>42583</v>
      </c>
      <c r="B474" s="27" t="s">
        <v>23</v>
      </c>
      <c r="C474" s="27">
        <v>554</v>
      </c>
      <c r="D474" s="27">
        <v>3.523465703971119</v>
      </c>
      <c r="E474" s="27">
        <v>46.028880866425993</v>
      </c>
      <c r="F474" s="27">
        <v>299</v>
      </c>
      <c r="G474" s="27">
        <v>53.971119133574007</v>
      </c>
    </row>
    <row r="475" spans="1:7" x14ac:dyDescent="0.3">
      <c r="A475" s="26">
        <v>42583</v>
      </c>
      <c r="B475" s="27" t="s">
        <v>24</v>
      </c>
      <c r="C475" s="27">
        <v>6</v>
      </c>
      <c r="D475" s="27">
        <v>3.1666666666666665</v>
      </c>
      <c r="E475" s="27">
        <v>66.666666666666657</v>
      </c>
      <c r="F475" s="27">
        <v>2</v>
      </c>
      <c r="G475" s="27">
        <v>33.333333333333329</v>
      </c>
    </row>
    <row r="476" spans="1:7" x14ac:dyDescent="0.3">
      <c r="A476" s="26">
        <v>42583</v>
      </c>
      <c r="B476" s="27" t="s">
        <v>25</v>
      </c>
      <c r="C476" s="27">
        <v>725</v>
      </c>
      <c r="D476" s="27">
        <v>3.3710344827586205</v>
      </c>
      <c r="E476" s="27">
        <v>47.448275862068968</v>
      </c>
      <c r="F476" s="27">
        <v>381</v>
      </c>
      <c r="G476" s="27">
        <v>52.551724137931032</v>
      </c>
    </row>
    <row r="477" spans="1:7" x14ac:dyDescent="0.3">
      <c r="A477" s="26">
        <v>42583</v>
      </c>
      <c r="B477" s="27" t="s">
        <v>26</v>
      </c>
      <c r="C477" s="27">
        <v>342</v>
      </c>
      <c r="D477" s="27">
        <v>3.3918128654970761</v>
      </c>
      <c r="E477" s="27">
        <v>47.368421052631575</v>
      </c>
      <c r="F477" s="27">
        <v>180</v>
      </c>
      <c r="G477" s="27">
        <v>52.631578947368418</v>
      </c>
    </row>
    <row r="478" spans="1:7" x14ac:dyDescent="0.3">
      <c r="A478" s="28">
        <v>42583</v>
      </c>
      <c r="B478" s="29" t="s">
        <v>27</v>
      </c>
      <c r="C478" s="29">
        <v>8</v>
      </c>
      <c r="D478" s="29">
        <v>3.75</v>
      </c>
      <c r="E478" s="29">
        <v>37.5</v>
      </c>
      <c r="F478" s="29">
        <v>5</v>
      </c>
      <c r="G478" s="29">
        <v>62.5</v>
      </c>
    </row>
    <row r="479" spans="1:7" x14ac:dyDescent="0.3">
      <c r="A479" s="26">
        <v>42583</v>
      </c>
      <c r="B479" s="27" t="s">
        <v>28</v>
      </c>
      <c r="C479" s="27">
        <v>33</v>
      </c>
      <c r="D479" s="27">
        <v>3.5151515151515151</v>
      </c>
      <c r="E479" s="27">
        <v>45.454545454545453</v>
      </c>
      <c r="F479" s="27">
        <v>18</v>
      </c>
      <c r="G479" s="27">
        <v>54.54545454545454</v>
      </c>
    </row>
    <row r="480" spans="1:7" x14ac:dyDescent="0.3">
      <c r="A480" s="26">
        <v>42583</v>
      </c>
      <c r="B480" s="27" t="s">
        <v>29</v>
      </c>
      <c r="C480" s="27">
        <v>459</v>
      </c>
      <c r="D480" s="27">
        <v>3.363834422657952</v>
      </c>
      <c r="E480" s="27">
        <v>47.712418300653596</v>
      </c>
      <c r="F480" s="27">
        <v>240</v>
      </c>
      <c r="G480" s="27">
        <v>52.287581699346411</v>
      </c>
    </row>
    <row r="481" spans="1:7" x14ac:dyDescent="0.3">
      <c r="A481" s="26">
        <v>42583</v>
      </c>
      <c r="B481" s="27" t="s">
        <v>30</v>
      </c>
      <c r="C481" s="27">
        <v>687</v>
      </c>
      <c r="D481" s="27">
        <v>3.4192139737991267</v>
      </c>
      <c r="E481" s="27">
        <v>45.705967976710333</v>
      </c>
      <c r="F481" s="27">
        <v>373</v>
      </c>
      <c r="G481" s="27">
        <v>54.29403202328966</v>
      </c>
    </row>
    <row r="482" spans="1:7" x14ac:dyDescent="0.3">
      <c r="A482" s="28">
        <v>42614</v>
      </c>
      <c r="B482" s="29" t="s">
        <v>7</v>
      </c>
      <c r="C482" s="29">
        <v>61</v>
      </c>
      <c r="D482" s="29">
        <v>3.8524590163934427</v>
      </c>
      <c r="E482" s="29">
        <v>42.622950819672127</v>
      </c>
      <c r="F482" s="29">
        <v>35</v>
      </c>
      <c r="G482" s="29">
        <v>57.377049180327866</v>
      </c>
    </row>
    <row r="483" spans="1:7" x14ac:dyDescent="0.3">
      <c r="A483" s="28">
        <v>42614</v>
      </c>
      <c r="B483" s="29" t="s">
        <v>8</v>
      </c>
      <c r="C483" s="29">
        <v>19</v>
      </c>
      <c r="D483" s="29">
        <v>3.5789473684210527</v>
      </c>
      <c r="E483" s="29">
        <v>36.84210526315789</v>
      </c>
      <c r="F483" s="29">
        <v>12</v>
      </c>
      <c r="G483" s="29">
        <v>63.157894736842103</v>
      </c>
    </row>
    <row r="484" spans="1:7" x14ac:dyDescent="0.3">
      <c r="A484" s="28">
        <v>42614</v>
      </c>
      <c r="B484" s="29" t="s">
        <v>9</v>
      </c>
      <c r="C484" s="29">
        <v>8</v>
      </c>
      <c r="D484" s="29">
        <v>3.25</v>
      </c>
      <c r="E484" s="29">
        <v>37.5</v>
      </c>
      <c r="F484" s="29">
        <v>5</v>
      </c>
      <c r="G484" s="29">
        <v>62.5</v>
      </c>
    </row>
    <row r="485" spans="1:7" x14ac:dyDescent="0.3">
      <c r="A485" s="28">
        <v>42614</v>
      </c>
      <c r="B485" s="29" t="s">
        <v>10</v>
      </c>
      <c r="C485" s="29">
        <v>385</v>
      </c>
      <c r="D485" s="29">
        <v>3.4441558441558442</v>
      </c>
      <c r="E485" s="29">
        <v>44.675324675324674</v>
      </c>
      <c r="F485" s="29">
        <v>213</v>
      </c>
      <c r="G485" s="29">
        <v>55.324675324675319</v>
      </c>
    </row>
    <row r="486" spans="1:7" x14ac:dyDescent="0.3">
      <c r="A486" s="28">
        <v>42614</v>
      </c>
      <c r="B486" s="29" t="s">
        <v>11</v>
      </c>
      <c r="C486" s="29">
        <v>348</v>
      </c>
      <c r="D486" s="29">
        <v>3.5172413793103448</v>
      </c>
      <c r="E486" s="29">
        <v>43.678160919540232</v>
      </c>
      <c r="F486" s="29">
        <v>196</v>
      </c>
      <c r="G486" s="29">
        <v>56.321839080459768</v>
      </c>
    </row>
    <row r="487" spans="1:7" x14ac:dyDescent="0.3">
      <c r="A487" s="26">
        <v>42614</v>
      </c>
      <c r="B487" s="27" t="s">
        <v>12</v>
      </c>
      <c r="C487" s="27">
        <v>755</v>
      </c>
      <c r="D487" s="27">
        <v>3.4304635761589406</v>
      </c>
      <c r="E487" s="27">
        <v>45.165562913907287</v>
      </c>
      <c r="F487" s="27">
        <v>414</v>
      </c>
      <c r="G487" s="27">
        <v>54.834437086092713</v>
      </c>
    </row>
    <row r="488" spans="1:7" x14ac:dyDescent="0.3">
      <c r="A488" s="26">
        <v>42614</v>
      </c>
      <c r="B488" s="27" t="s">
        <v>13</v>
      </c>
      <c r="C488" s="27">
        <v>119</v>
      </c>
      <c r="D488" s="27">
        <v>3.4789915966386555</v>
      </c>
      <c r="E488" s="27">
        <v>51.260504201680668</v>
      </c>
      <c r="F488" s="27">
        <v>58</v>
      </c>
      <c r="G488" s="27">
        <v>48.739495798319325</v>
      </c>
    </row>
    <row r="489" spans="1:7" x14ac:dyDescent="0.3">
      <c r="A489" s="28">
        <v>42614</v>
      </c>
      <c r="B489" s="29" t="s">
        <v>14</v>
      </c>
      <c r="C489" s="29">
        <v>508</v>
      </c>
      <c r="D489" s="29">
        <v>3.5236220472440944</v>
      </c>
      <c r="E489" s="29">
        <v>44.291338582677163</v>
      </c>
      <c r="F489" s="29">
        <v>283</v>
      </c>
      <c r="G489" s="29">
        <v>55.708661417322837</v>
      </c>
    </row>
    <row r="490" spans="1:7" x14ac:dyDescent="0.3">
      <c r="A490" s="28">
        <v>42614</v>
      </c>
      <c r="B490" s="29" t="s">
        <v>15</v>
      </c>
      <c r="C490" s="29">
        <v>8</v>
      </c>
      <c r="D490" s="29">
        <v>4.375</v>
      </c>
      <c r="E490" s="29">
        <v>25</v>
      </c>
      <c r="F490" s="29">
        <v>6</v>
      </c>
      <c r="G490" s="29">
        <v>75</v>
      </c>
    </row>
    <row r="491" spans="1:7" x14ac:dyDescent="0.3">
      <c r="A491" s="26">
        <v>42614</v>
      </c>
      <c r="B491" s="27" t="s">
        <v>16</v>
      </c>
      <c r="C491" s="27">
        <v>44</v>
      </c>
      <c r="D491" s="27">
        <v>3.5681818181818183</v>
      </c>
      <c r="E491" s="27">
        <v>50</v>
      </c>
      <c r="F491" s="27">
        <v>22</v>
      </c>
      <c r="G491" s="27">
        <v>50</v>
      </c>
    </row>
    <row r="492" spans="1:7" x14ac:dyDescent="0.3">
      <c r="A492" s="26">
        <v>42614</v>
      </c>
      <c r="B492" s="27" t="s">
        <v>17</v>
      </c>
      <c r="C492" s="27">
        <v>13</v>
      </c>
      <c r="D492" s="27">
        <v>3.6923076923076925</v>
      </c>
      <c r="E492" s="27">
        <v>46.153846153846153</v>
      </c>
      <c r="F492" s="27">
        <v>7</v>
      </c>
      <c r="G492" s="27">
        <v>53.846153846153847</v>
      </c>
    </row>
    <row r="493" spans="1:7" x14ac:dyDescent="0.3">
      <c r="A493" s="26">
        <v>42614</v>
      </c>
      <c r="B493" s="27" t="s">
        <v>18</v>
      </c>
      <c r="C493" s="27">
        <v>67</v>
      </c>
      <c r="D493" s="27">
        <v>3.4776119402985075</v>
      </c>
      <c r="E493" s="27">
        <v>49.253731343283583</v>
      </c>
      <c r="F493" s="27">
        <v>34</v>
      </c>
      <c r="G493" s="27">
        <v>50.746268656716417</v>
      </c>
    </row>
    <row r="494" spans="1:7" x14ac:dyDescent="0.3">
      <c r="A494" s="26">
        <v>42614</v>
      </c>
      <c r="B494" s="27" t="s">
        <v>19</v>
      </c>
      <c r="C494" s="27">
        <v>22</v>
      </c>
      <c r="D494" s="27">
        <v>3.8181818181818183</v>
      </c>
      <c r="E494" s="27">
        <v>50</v>
      </c>
      <c r="F494" s="27">
        <v>11</v>
      </c>
      <c r="G494" s="27">
        <v>50</v>
      </c>
    </row>
    <row r="495" spans="1:7" x14ac:dyDescent="0.3">
      <c r="A495" s="26">
        <v>42614</v>
      </c>
      <c r="B495" s="27" t="s">
        <v>20</v>
      </c>
      <c r="C495" s="27">
        <v>11</v>
      </c>
      <c r="D495" s="27">
        <v>3.2727272727272729</v>
      </c>
      <c r="E495" s="27">
        <v>63.636363636363633</v>
      </c>
      <c r="F495" s="27">
        <v>4</v>
      </c>
      <c r="G495" s="27">
        <v>36.363636363636367</v>
      </c>
    </row>
    <row r="496" spans="1:7" x14ac:dyDescent="0.3">
      <c r="A496" s="26">
        <v>42614</v>
      </c>
      <c r="B496" s="27" t="s">
        <v>21</v>
      </c>
      <c r="C496" s="27">
        <v>17</v>
      </c>
      <c r="D496" s="27">
        <v>2.9411764705882355</v>
      </c>
      <c r="E496" s="27">
        <v>52.941176470588239</v>
      </c>
      <c r="F496" s="27">
        <v>8</v>
      </c>
      <c r="G496" s="27">
        <v>47.058823529411761</v>
      </c>
    </row>
    <row r="497" spans="1:7" x14ac:dyDescent="0.3">
      <c r="A497" s="26">
        <v>42614</v>
      </c>
      <c r="B497" s="27" t="s">
        <v>22</v>
      </c>
      <c r="C497" s="27">
        <v>17</v>
      </c>
      <c r="D497" s="27">
        <v>3.3529411764705883</v>
      </c>
      <c r="E497" s="27">
        <v>52.941176470588239</v>
      </c>
      <c r="F497" s="27">
        <v>8</v>
      </c>
      <c r="G497" s="27">
        <v>47.058823529411761</v>
      </c>
    </row>
    <row r="498" spans="1:7" x14ac:dyDescent="0.3">
      <c r="A498" s="28">
        <v>42614</v>
      </c>
      <c r="B498" s="29" t="s">
        <v>23</v>
      </c>
      <c r="C498" s="29">
        <v>598</v>
      </c>
      <c r="D498" s="29">
        <v>3.4331103678929766</v>
      </c>
      <c r="E498" s="29">
        <v>44.314381270903006</v>
      </c>
      <c r="F498" s="29">
        <v>333</v>
      </c>
      <c r="G498" s="29">
        <v>55.685618729096987</v>
      </c>
    </row>
    <row r="499" spans="1:7" x14ac:dyDescent="0.3">
      <c r="A499" s="28">
        <v>42614</v>
      </c>
      <c r="B499" s="29" t="s">
        <v>24</v>
      </c>
      <c r="C499" s="29">
        <v>8</v>
      </c>
      <c r="D499" s="29">
        <v>3.875</v>
      </c>
      <c r="E499" s="29">
        <v>25</v>
      </c>
      <c r="F499" s="29">
        <v>6</v>
      </c>
      <c r="G499" s="29">
        <v>75</v>
      </c>
    </row>
    <row r="500" spans="1:7" x14ac:dyDescent="0.3">
      <c r="A500" s="28">
        <v>42614</v>
      </c>
      <c r="B500" s="29" t="s">
        <v>25</v>
      </c>
      <c r="C500" s="29">
        <v>684</v>
      </c>
      <c r="D500" s="29">
        <v>3.492690058479532</v>
      </c>
      <c r="E500" s="29">
        <v>44.444444444444443</v>
      </c>
      <c r="F500" s="29">
        <v>380</v>
      </c>
      <c r="G500" s="29">
        <v>55.555555555555557</v>
      </c>
    </row>
    <row r="501" spans="1:7" x14ac:dyDescent="0.3">
      <c r="A501" s="26">
        <v>42614</v>
      </c>
      <c r="B501" s="27" t="s">
        <v>26</v>
      </c>
      <c r="C501" s="27">
        <v>323</v>
      </c>
      <c r="D501" s="27">
        <v>3.3405572755417956</v>
      </c>
      <c r="E501" s="27">
        <v>48.297213622291025</v>
      </c>
      <c r="F501" s="27">
        <v>167</v>
      </c>
      <c r="G501" s="27">
        <v>51.702786377708975</v>
      </c>
    </row>
    <row r="502" spans="1:7" x14ac:dyDescent="0.3">
      <c r="A502" s="26">
        <v>42614</v>
      </c>
      <c r="B502" s="27" t="s">
        <v>27</v>
      </c>
      <c r="C502" s="27">
        <v>13</v>
      </c>
      <c r="D502" s="27">
        <v>3.3076923076923075</v>
      </c>
      <c r="E502" s="27">
        <v>46.153846153846153</v>
      </c>
      <c r="F502" s="27">
        <v>7</v>
      </c>
      <c r="G502" s="27">
        <v>53.846153846153847</v>
      </c>
    </row>
    <row r="503" spans="1:7" x14ac:dyDescent="0.3">
      <c r="A503" s="28">
        <v>42614</v>
      </c>
      <c r="B503" s="29" t="s">
        <v>28</v>
      </c>
      <c r="C503" s="29">
        <v>39</v>
      </c>
      <c r="D503" s="29">
        <v>3.4102564102564101</v>
      </c>
      <c r="E503" s="29">
        <v>41.025641025641022</v>
      </c>
      <c r="F503" s="29">
        <v>23</v>
      </c>
      <c r="G503" s="29">
        <v>58.974358974358978</v>
      </c>
    </row>
    <row r="504" spans="1:7" x14ac:dyDescent="0.3">
      <c r="A504" s="28">
        <v>42614</v>
      </c>
      <c r="B504" s="29" t="s">
        <v>29</v>
      </c>
      <c r="C504" s="29">
        <v>473</v>
      </c>
      <c r="D504" s="29">
        <v>3.5454545454545454</v>
      </c>
      <c r="E504" s="29">
        <v>43.97463002114165</v>
      </c>
      <c r="F504" s="29">
        <v>265</v>
      </c>
      <c r="G504" s="29">
        <v>56.02536997885835</v>
      </c>
    </row>
    <row r="505" spans="1:7" x14ac:dyDescent="0.3">
      <c r="A505" s="26">
        <v>42614</v>
      </c>
      <c r="B505" s="27" t="s">
        <v>30</v>
      </c>
      <c r="C505" s="27">
        <v>620</v>
      </c>
      <c r="D505" s="27">
        <v>3.3693548387096772</v>
      </c>
      <c r="E505" s="27">
        <v>46.29032258064516</v>
      </c>
      <c r="F505" s="27">
        <v>333</v>
      </c>
      <c r="G505" s="27">
        <v>53.70967741935484</v>
      </c>
    </row>
    <row r="506" spans="1:7" x14ac:dyDescent="0.3">
      <c r="A506" s="28">
        <v>42644</v>
      </c>
      <c r="B506" s="29" t="s">
        <v>7</v>
      </c>
      <c r="C506" s="29">
        <v>72</v>
      </c>
      <c r="D506" s="29">
        <v>3.625</v>
      </c>
      <c r="E506" s="29">
        <v>43.055555555555557</v>
      </c>
      <c r="F506" s="29">
        <v>41</v>
      </c>
      <c r="G506" s="29">
        <v>56.944444444444443</v>
      </c>
    </row>
    <row r="507" spans="1:7" x14ac:dyDescent="0.3">
      <c r="A507" s="30">
        <v>42644</v>
      </c>
      <c r="B507" s="31" t="s">
        <v>8</v>
      </c>
      <c r="C507" s="31">
        <v>20</v>
      </c>
      <c r="D507" s="31">
        <v>3.45</v>
      </c>
      <c r="E507" s="31">
        <v>45</v>
      </c>
      <c r="F507" s="31">
        <v>11</v>
      </c>
      <c r="G507" s="31">
        <v>55.000000000000007</v>
      </c>
    </row>
    <row r="508" spans="1:7" x14ac:dyDescent="0.3">
      <c r="A508" s="26">
        <v>42644</v>
      </c>
      <c r="B508" s="27" t="s">
        <v>9</v>
      </c>
      <c r="C508" s="27">
        <v>14</v>
      </c>
      <c r="D508" s="27">
        <v>2.5</v>
      </c>
      <c r="E508" s="27">
        <v>64.285714285714292</v>
      </c>
      <c r="F508" s="27">
        <v>5</v>
      </c>
      <c r="G508" s="27">
        <v>35.714285714285715</v>
      </c>
    </row>
    <row r="509" spans="1:7" x14ac:dyDescent="0.3">
      <c r="A509" s="26">
        <v>42644</v>
      </c>
      <c r="B509" s="27" t="s">
        <v>10</v>
      </c>
      <c r="C509" s="27">
        <v>422</v>
      </c>
      <c r="D509" s="27">
        <v>3.3009478672985781</v>
      </c>
      <c r="E509" s="27">
        <v>49.052132701421804</v>
      </c>
      <c r="F509" s="27">
        <v>215</v>
      </c>
      <c r="G509" s="27">
        <v>50.947867298578196</v>
      </c>
    </row>
    <row r="510" spans="1:7" x14ac:dyDescent="0.3">
      <c r="A510" s="26">
        <v>42644</v>
      </c>
      <c r="B510" s="27" t="s">
        <v>11</v>
      </c>
      <c r="C510" s="27">
        <v>367</v>
      </c>
      <c r="D510" s="27">
        <v>3.3923705722070845</v>
      </c>
      <c r="E510" s="27">
        <v>49.04632152588556</v>
      </c>
      <c r="F510" s="27">
        <v>187</v>
      </c>
      <c r="G510" s="27">
        <v>50.95367847411444</v>
      </c>
    </row>
    <row r="511" spans="1:7" x14ac:dyDescent="0.3">
      <c r="A511" s="26">
        <v>42644</v>
      </c>
      <c r="B511" s="27" t="s">
        <v>12</v>
      </c>
      <c r="C511" s="27">
        <v>753</v>
      </c>
      <c r="D511" s="27">
        <v>3.49933598937583</v>
      </c>
      <c r="E511" s="27">
        <v>45.019920318725099</v>
      </c>
      <c r="F511" s="27">
        <v>414</v>
      </c>
      <c r="G511" s="27">
        <v>54.980079681274894</v>
      </c>
    </row>
    <row r="512" spans="1:7" x14ac:dyDescent="0.3">
      <c r="A512" s="26">
        <v>42644</v>
      </c>
      <c r="B512" s="27" t="s">
        <v>13</v>
      </c>
      <c r="C512" s="27">
        <v>126</v>
      </c>
      <c r="D512" s="27">
        <v>3.6349206349206349</v>
      </c>
      <c r="E512" s="27">
        <v>49.206349206349202</v>
      </c>
      <c r="F512" s="27">
        <v>64</v>
      </c>
      <c r="G512" s="27">
        <v>50.793650793650791</v>
      </c>
    </row>
    <row r="513" spans="1:7" x14ac:dyDescent="0.3">
      <c r="A513" s="26">
        <v>42644</v>
      </c>
      <c r="B513" s="27" t="s">
        <v>14</v>
      </c>
      <c r="C513" s="27">
        <v>509</v>
      </c>
      <c r="D513" s="27">
        <v>3.3850687622789786</v>
      </c>
      <c r="E513" s="27">
        <v>46.36542239685658</v>
      </c>
      <c r="F513" s="27">
        <v>273</v>
      </c>
      <c r="G513" s="27">
        <v>53.63457760314342</v>
      </c>
    </row>
    <row r="514" spans="1:7" x14ac:dyDescent="0.3">
      <c r="A514" s="26">
        <v>42644</v>
      </c>
      <c r="B514" s="27" t="s">
        <v>15</v>
      </c>
      <c r="C514" s="27">
        <v>9</v>
      </c>
      <c r="D514" s="27">
        <v>2.8888888888888888</v>
      </c>
      <c r="E514" s="27">
        <v>55.555555555555557</v>
      </c>
      <c r="F514" s="27">
        <v>4</v>
      </c>
      <c r="G514" s="27">
        <v>44.444444444444443</v>
      </c>
    </row>
    <row r="515" spans="1:7" x14ac:dyDescent="0.3">
      <c r="A515" s="26">
        <v>42644</v>
      </c>
      <c r="B515" s="27" t="s">
        <v>16</v>
      </c>
      <c r="C515" s="27">
        <v>47</v>
      </c>
      <c r="D515" s="27">
        <v>3.2127659574468086</v>
      </c>
      <c r="E515" s="27">
        <v>51.063829787234042</v>
      </c>
      <c r="F515" s="27">
        <v>23</v>
      </c>
      <c r="G515" s="27">
        <v>48.936170212765958</v>
      </c>
    </row>
    <row r="516" spans="1:7" x14ac:dyDescent="0.3">
      <c r="A516" s="26">
        <v>42644</v>
      </c>
      <c r="B516" s="27" t="s">
        <v>17</v>
      </c>
      <c r="C516" s="27">
        <v>10</v>
      </c>
      <c r="D516" s="27">
        <v>3</v>
      </c>
      <c r="E516" s="27">
        <v>60</v>
      </c>
      <c r="F516" s="27">
        <v>4</v>
      </c>
      <c r="G516" s="27">
        <v>40</v>
      </c>
    </row>
    <row r="517" spans="1:7" x14ac:dyDescent="0.3">
      <c r="A517" s="28">
        <v>42644</v>
      </c>
      <c r="B517" s="29" t="s">
        <v>18</v>
      </c>
      <c r="C517" s="29">
        <v>52</v>
      </c>
      <c r="D517" s="29">
        <v>3.4423076923076925</v>
      </c>
      <c r="E517" s="29">
        <v>44.230769230769226</v>
      </c>
      <c r="F517" s="29">
        <v>29</v>
      </c>
      <c r="G517" s="29">
        <v>55.769230769230774</v>
      </c>
    </row>
    <row r="518" spans="1:7" x14ac:dyDescent="0.3">
      <c r="A518" s="28">
        <v>42644</v>
      </c>
      <c r="B518" s="29" t="s">
        <v>19</v>
      </c>
      <c r="C518" s="29">
        <v>34</v>
      </c>
      <c r="D518" s="29">
        <v>3.5882352941176472</v>
      </c>
      <c r="E518" s="29">
        <v>32.352941176470587</v>
      </c>
      <c r="F518" s="29">
        <v>23</v>
      </c>
      <c r="G518" s="29">
        <v>67.64705882352942</v>
      </c>
    </row>
    <row r="519" spans="1:7" x14ac:dyDescent="0.3">
      <c r="A519" s="26">
        <v>42644</v>
      </c>
      <c r="B519" s="27" t="s">
        <v>20</v>
      </c>
      <c r="C519" s="27">
        <v>13</v>
      </c>
      <c r="D519" s="27">
        <v>3.6153846153846154</v>
      </c>
      <c r="E519" s="27">
        <v>53.846153846153847</v>
      </c>
      <c r="F519" s="27">
        <v>6</v>
      </c>
      <c r="G519" s="27">
        <v>46.153846153846153</v>
      </c>
    </row>
    <row r="520" spans="1:7" x14ac:dyDescent="0.3">
      <c r="A520" s="28">
        <v>42644</v>
      </c>
      <c r="B520" s="29" t="s">
        <v>21</v>
      </c>
      <c r="C520" s="29">
        <v>20</v>
      </c>
      <c r="D520" s="29">
        <v>3.9</v>
      </c>
      <c r="E520" s="29">
        <v>30</v>
      </c>
      <c r="F520" s="29">
        <v>14</v>
      </c>
      <c r="G520" s="29">
        <v>70</v>
      </c>
    </row>
    <row r="521" spans="1:7" x14ac:dyDescent="0.3">
      <c r="A521" s="26">
        <v>42644</v>
      </c>
      <c r="B521" s="27" t="s">
        <v>22</v>
      </c>
      <c r="C521" s="27">
        <v>10</v>
      </c>
      <c r="D521" s="27">
        <v>2.4</v>
      </c>
      <c r="E521" s="27">
        <v>70</v>
      </c>
      <c r="F521" s="27">
        <v>3</v>
      </c>
      <c r="G521" s="27">
        <v>30</v>
      </c>
    </row>
    <row r="522" spans="1:7" x14ac:dyDescent="0.3">
      <c r="A522" s="26">
        <v>42644</v>
      </c>
      <c r="B522" s="27" t="s">
        <v>23</v>
      </c>
      <c r="C522" s="27">
        <v>649</v>
      </c>
      <c r="D522" s="27">
        <v>3.4453004622496146</v>
      </c>
      <c r="E522" s="27">
        <v>50.231124807396</v>
      </c>
      <c r="F522" s="27">
        <v>323</v>
      </c>
      <c r="G522" s="27">
        <v>49.768875192604007</v>
      </c>
    </row>
    <row r="523" spans="1:7" x14ac:dyDescent="0.3">
      <c r="A523" s="28">
        <v>42644</v>
      </c>
      <c r="B523" s="29" t="s">
        <v>24</v>
      </c>
      <c r="C523" s="29">
        <v>13</v>
      </c>
      <c r="D523" s="29">
        <v>4.3076923076923075</v>
      </c>
      <c r="E523" s="29">
        <v>30.76923076923077</v>
      </c>
      <c r="F523" s="29">
        <v>9</v>
      </c>
      <c r="G523" s="29">
        <v>69.230769230769226</v>
      </c>
    </row>
    <row r="524" spans="1:7" x14ac:dyDescent="0.3">
      <c r="A524" s="28">
        <v>42644</v>
      </c>
      <c r="B524" s="29" t="s">
        <v>25</v>
      </c>
      <c r="C524" s="29">
        <v>725</v>
      </c>
      <c r="D524" s="29">
        <v>3.4441379310344828</v>
      </c>
      <c r="E524" s="29">
        <v>44.137931034482762</v>
      </c>
      <c r="F524" s="29">
        <v>405</v>
      </c>
      <c r="G524" s="29">
        <v>55.862068965517238</v>
      </c>
    </row>
    <row r="525" spans="1:7" x14ac:dyDescent="0.3">
      <c r="A525" s="28">
        <v>42644</v>
      </c>
      <c r="B525" s="29" t="s">
        <v>26</v>
      </c>
      <c r="C525" s="29">
        <v>337</v>
      </c>
      <c r="D525" s="29">
        <v>3.4896142433234423</v>
      </c>
      <c r="E525" s="29">
        <v>44.213649851632049</v>
      </c>
      <c r="F525" s="29">
        <v>188</v>
      </c>
      <c r="G525" s="29">
        <v>55.786350148367958</v>
      </c>
    </row>
    <row r="526" spans="1:7" x14ac:dyDescent="0.3">
      <c r="A526" s="28">
        <v>42644</v>
      </c>
      <c r="B526" s="29" t="s">
        <v>27</v>
      </c>
      <c r="C526" s="29">
        <v>8</v>
      </c>
      <c r="D526" s="29">
        <v>3.5</v>
      </c>
      <c r="E526" s="29">
        <v>25</v>
      </c>
      <c r="F526" s="29">
        <v>6</v>
      </c>
      <c r="G526" s="29">
        <v>75</v>
      </c>
    </row>
    <row r="527" spans="1:7" x14ac:dyDescent="0.3">
      <c r="A527" s="28">
        <v>42644</v>
      </c>
      <c r="B527" s="29" t="s">
        <v>28</v>
      </c>
      <c r="C527" s="29">
        <v>36</v>
      </c>
      <c r="D527" s="29">
        <v>3.6666666666666665</v>
      </c>
      <c r="E527" s="29">
        <v>27.777777777777779</v>
      </c>
      <c r="F527" s="29">
        <v>26</v>
      </c>
      <c r="G527" s="29">
        <v>72.222222222222214</v>
      </c>
    </row>
    <row r="528" spans="1:7" x14ac:dyDescent="0.3">
      <c r="A528" s="26">
        <v>42644</v>
      </c>
      <c r="B528" s="27" t="s">
        <v>29</v>
      </c>
      <c r="C528" s="27">
        <v>490</v>
      </c>
      <c r="D528" s="27">
        <v>3.4326530612244897</v>
      </c>
      <c r="E528" s="27">
        <v>46.326530612244895</v>
      </c>
      <c r="F528" s="27">
        <v>263</v>
      </c>
      <c r="G528" s="27">
        <v>53.673469387755105</v>
      </c>
    </row>
    <row r="529" spans="1:7" x14ac:dyDescent="0.3">
      <c r="A529" s="28">
        <v>42644</v>
      </c>
      <c r="B529" s="29" t="s">
        <v>30</v>
      </c>
      <c r="C529" s="29">
        <v>662</v>
      </c>
      <c r="D529" s="29">
        <v>3.3791540785498491</v>
      </c>
      <c r="E529" s="29">
        <v>39.274924471299094</v>
      </c>
      <c r="F529" s="29">
        <v>402</v>
      </c>
      <c r="G529" s="29">
        <v>60.725075528700913</v>
      </c>
    </row>
    <row r="530" spans="1:7" x14ac:dyDescent="0.3">
      <c r="A530" s="28">
        <v>42675</v>
      </c>
      <c r="B530" s="29" t="s">
        <v>7</v>
      </c>
      <c r="C530" s="29">
        <v>68</v>
      </c>
      <c r="D530" s="29">
        <v>3.8823529411764706</v>
      </c>
      <c r="E530" s="29">
        <v>36.764705882352942</v>
      </c>
      <c r="F530" s="29">
        <v>43</v>
      </c>
      <c r="G530" s="29">
        <v>63.235294117647058</v>
      </c>
    </row>
    <row r="531" spans="1:7" x14ac:dyDescent="0.3">
      <c r="A531" s="26">
        <v>42675</v>
      </c>
      <c r="B531" s="27" t="s">
        <v>8</v>
      </c>
      <c r="C531" s="27">
        <v>18</v>
      </c>
      <c r="D531" s="27">
        <v>3</v>
      </c>
      <c r="E531" s="27">
        <v>50</v>
      </c>
      <c r="F531" s="27">
        <v>9</v>
      </c>
      <c r="G531" s="27">
        <v>50</v>
      </c>
    </row>
    <row r="532" spans="1:7" x14ac:dyDescent="0.3">
      <c r="A532" s="26">
        <v>42675</v>
      </c>
      <c r="B532" s="27" t="s">
        <v>9</v>
      </c>
      <c r="C532" s="27">
        <v>17</v>
      </c>
      <c r="D532" s="27">
        <v>3.4705882352941178</v>
      </c>
      <c r="E532" s="27">
        <v>47.058823529411761</v>
      </c>
      <c r="F532" s="27">
        <v>9</v>
      </c>
      <c r="G532" s="27">
        <v>52.941176470588239</v>
      </c>
    </row>
    <row r="533" spans="1:7" x14ac:dyDescent="0.3">
      <c r="A533" s="26">
        <v>42675</v>
      </c>
      <c r="B533" s="27" t="s">
        <v>10</v>
      </c>
      <c r="C533" s="27">
        <v>426</v>
      </c>
      <c r="D533" s="27">
        <v>3.4530516431924885</v>
      </c>
      <c r="E533" s="27">
        <v>47.652582159624416</v>
      </c>
      <c r="F533" s="27">
        <v>223</v>
      </c>
      <c r="G533" s="27">
        <v>52.347417840375584</v>
      </c>
    </row>
    <row r="534" spans="1:7" x14ac:dyDescent="0.3">
      <c r="A534" s="26">
        <v>42675</v>
      </c>
      <c r="B534" s="27" t="s">
        <v>11</v>
      </c>
      <c r="C534" s="27">
        <v>382</v>
      </c>
      <c r="D534" s="27">
        <v>3.4764397905759163</v>
      </c>
      <c r="E534" s="27">
        <v>49.214659685863879</v>
      </c>
      <c r="F534" s="27">
        <v>194</v>
      </c>
      <c r="G534" s="27">
        <v>50.785340314136128</v>
      </c>
    </row>
    <row r="535" spans="1:7" x14ac:dyDescent="0.3">
      <c r="A535" s="28">
        <v>42675</v>
      </c>
      <c r="B535" s="29" t="s">
        <v>12</v>
      </c>
      <c r="C535" s="29">
        <v>737</v>
      </c>
      <c r="D535" s="29">
        <v>3.5359565807327002</v>
      </c>
      <c r="E535" s="29">
        <v>44.91180461329715</v>
      </c>
      <c r="F535" s="29">
        <v>406</v>
      </c>
      <c r="G535" s="29">
        <v>55.088195386702857</v>
      </c>
    </row>
    <row r="536" spans="1:7" x14ac:dyDescent="0.3">
      <c r="A536" s="26">
        <v>42675</v>
      </c>
      <c r="B536" s="27" t="s">
        <v>13</v>
      </c>
      <c r="C536" s="27">
        <v>116</v>
      </c>
      <c r="D536" s="27">
        <v>3.4741379310344827</v>
      </c>
      <c r="E536" s="27">
        <v>45.689655172413794</v>
      </c>
      <c r="F536" s="27">
        <v>63</v>
      </c>
      <c r="G536" s="27">
        <v>54.310344827586206</v>
      </c>
    </row>
    <row r="537" spans="1:7" x14ac:dyDescent="0.3">
      <c r="A537" s="28">
        <v>42675</v>
      </c>
      <c r="B537" s="29" t="s">
        <v>14</v>
      </c>
      <c r="C537" s="29">
        <v>560</v>
      </c>
      <c r="D537" s="29">
        <v>3.5375000000000001</v>
      </c>
      <c r="E537" s="29">
        <v>40.714285714285715</v>
      </c>
      <c r="F537" s="29">
        <v>332</v>
      </c>
      <c r="G537" s="29">
        <v>59.285714285714285</v>
      </c>
    </row>
    <row r="538" spans="1:7" x14ac:dyDescent="0.3">
      <c r="A538" s="26">
        <v>42675</v>
      </c>
      <c r="B538" s="27" t="s">
        <v>15</v>
      </c>
      <c r="C538" s="27">
        <v>10</v>
      </c>
      <c r="D538" s="27">
        <v>3.8</v>
      </c>
      <c r="E538" s="27">
        <v>50</v>
      </c>
      <c r="F538" s="27">
        <v>5</v>
      </c>
      <c r="G538" s="27">
        <v>50</v>
      </c>
    </row>
    <row r="539" spans="1:7" x14ac:dyDescent="0.3">
      <c r="A539" s="28">
        <v>42675</v>
      </c>
      <c r="B539" s="29" t="s">
        <v>16</v>
      </c>
      <c r="C539" s="29">
        <v>30</v>
      </c>
      <c r="D539" s="29">
        <v>3.9333333333333331</v>
      </c>
      <c r="E539" s="29">
        <v>33.333333333333329</v>
      </c>
      <c r="F539" s="29">
        <v>20</v>
      </c>
      <c r="G539" s="29">
        <v>66.666666666666657</v>
      </c>
    </row>
    <row r="540" spans="1:7" x14ac:dyDescent="0.3">
      <c r="A540" s="28">
        <v>42675</v>
      </c>
      <c r="B540" s="29" t="s">
        <v>17</v>
      </c>
      <c r="C540" s="29">
        <v>12</v>
      </c>
      <c r="D540" s="29">
        <v>3.4166666666666665</v>
      </c>
      <c r="E540" s="29">
        <v>33.333333333333329</v>
      </c>
      <c r="F540" s="29">
        <v>8</v>
      </c>
      <c r="G540" s="29">
        <v>66.666666666666657</v>
      </c>
    </row>
    <row r="541" spans="1:7" x14ac:dyDescent="0.3">
      <c r="A541" s="28">
        <v>42675</v>
      </c>
      <c r="B541" s="29" t="s">
        <v>18</v>
      </c>
      <c r="C541" s="29">
        <v>48</v>
      </c>
      <c r="D541" s="29">
        <v>3.4375</v>
      </c>
      <c r="E541" s="29">
        <v>41.666666666666671</v>
      </c>
      <c r="F541" s="29">
        <v>28</v>
      </c>
      <c r="G541" s="29">
        <v>58.333333333333336</v>
      </c>
    </row>
    <row r="542" spans="1:7" x14ac:dyDescent="0.3">
      <c r="A542" s="28">
        <v>42675</v>
      </c>
      <c r="B542" s="29" t="s">
        <v>19</v>
      </c>
      <c r="C542" s="29">
        <v>39</v>
      </c>
      <c r="D542" s="29">
        <v>3.8461538461538463</v>
      </c>
      <c r="E542" s="29">
        <v>30.76923076923077</v>
      </c>
      <c r="F542" s="29">
        <v>27</v>
      </c>
      <c r="G542" s="29">
        <v>69.230769230769226</v>
      </c>
    </row>
    <row r="543" spans="1:7" x14ac:dyDescent="0.3">
      <c r="A543" s="28">
        <v>42675</v>
      </c>
      <c r="B543" s="29" t="s">
        <v>20</v>
      </c>
      <c r="C543" s="29">
        <v>3</v>
      </c>
      <c r="D543" s="29">
        <v>4.333333333333333</v>
      </c>
      <c r="E543" s="29">
        <v>33.333333333333329</v>
      </c>
      <c r="F543" s="29">
        <v>2</v>
      </c>
      <c r="G543" s="29">
        <v>66.666666666666657</v>
      </c>
    </row>
    <row r="544" spans="1:7" x14ac:dyDescent="0.3">
      <c r="A544" s="26">
        <v>42675</v>
      </c>
      <c r="B544" s="27" t="s">
        <v>21</v>
      </c>
      <c r="C544" s="27">
        <v>20</v>
      </c>
      <c r="D544" s="27">
        <v>3.2</v>
      </c>
      <c r="E544" s="27">
        <v>60</v>
      </c>
      <c r="F544" s="27">
        <v>8</v>
      </c>
      <c r="G544" s="27">
        <v>40</v>
      </c>
    </row>
    <row r="545" spans="1:7" x14ac:dyDescent="0.3">
      <c r="A545" s="26">
        <v>42675</v>
      </c>
      <c r="B545" s="27" t="s">
        <v>22</v>
      </c>
      <c r="C545" s="27">
        <v>13</v>
      </c>
      <c r="D545" s="27">
        <v>3.7692307692307692</v>
      </c>
      <c r="E545" s="27">
        <v>53.846153846153847</v>
      </c>
      <c r="F545" s="27">
        <v>6</v>
      </c>
      <c r="G545" s="27">
        <v>46.153846153846153</v>
      </c>
    </row>
    <row r="546" spans="1:7" x14ac:dyDescent="0.3">
      <c r="A546" s="26">
        <v>42675</v>
      </c>
      <c r="B546" s="27" t="s">
        <v>23</v>
      </c>
      <c r="C546" s="27">
        <v>574</v>
      </c>
      <c r="D546" s="27">
        <v>3.4529616724738674</v>
      </c>
      <c r="E546" s="27">
        <v>46.167247386759577</v>
      </c>
      <c r="F546" s="27">
        <v>309</v>
      </c>
      <c r="G546" s="27">
        <v>53.832752613240423</v>
      </c>
    </row>
    <row r="547" spans="1:7" x14ac:dyDescent="0.3">
      <c r="A547" s="28">
        <v>42675</v>
      </c>
      <c r="B547" s="29" t="s">
        <v>24</v>
      </c>
      <c r="C547" s="29">
        <v>11</v>
      </c>
      <c r="D547" s="29">
        <v>4</v>
      </c>
      <c r="E547" s="29">
        <v>27.27272727272727</v>
      </c>
      <c r="F547" s="29">
        <v>8</v>
      </c>
      <c r="G547" s="29">
        <v>72.727272727272734</v>
      </c>
    </row>
    <row r="548" spans="1:7" x14ac:dyDescent="0.3">
      <c r="A548" s="28">
        <v>42675</v>
      </c>
      <c r="B548" s="29" t="s">
        <v>25</v>
      </c>
      <c r="C548" s="29">
        <v>656</v>
      </c>
      <c r="D548" s="29">
        <v>3.5716463414634148</v>
      </c>
      <c r="E548" s="29">
        <v>44.969512195121951</v>
      </c>
      <c r="F548" s="29">
        <v>361</v>
      </c>
      <c r="G548" s="29">
        <v>55.030487804878049</v>
      </c>
    </row>
    <row r="549" spans="1:7" x14ac:dyDescent="0.3">
      <c r="A549" s="26">
        <v>42675</v>
      </c>
      <c r="B549" s="27" t="s">
        <v>26</v>
      </c>
      <c r="C549" s="27">
        <v>332</v>
      </c>
      <c r="D549" s="27">
        <v>3.4819277108433737</v>
      </c>
      <c r="E549" s="27">
        <v>45.481927710843372</v>
      </c>
      <c r="F549" s="27">
        <v>181</v>
      </c>
      <c r="G549" s="27">
        <v>54.518072289156628</v>
      </c>
    </row>
    <row r="550" spans="1:7" x14ac:dyDescent="0.3">
      <c r="A550" s="26">
        <v>42675</v>
      </c>
      <c r="B550" s="27" t="s">
        <v>27</v>
      </c>
      <c r="C550" s="27">
        <v>12</v>
      </c>
      <c r="D550" s="27">
        <v>3.5833333333333335</v>
      </c>
      <c r="E550" s="27">
        <v>66.666666666666657</v>
      </c>
      <c r="F550" s="27">
        <v>4</v>
      </c>
      <c r="G550" s="27">
        <v>33.333333333333329</v>
      </c>
    </row>
    <row r="551" spans="1:7" x14ac:dyDescent="0.3">
      <c r="A551" s="28">
        <v>42675</v>
      </c>
      <c r="B551" s="29" t="s">
        <v>28</v>
      </c>
      <c r="C551" s="29">
        <v>24</v>
      </c>
      <c r="D551" s="29">
        <v>3.75</v>
      </c>
      <c r="E551" s="29">
        <v>33.333333333333329</v>
      </c>
      <c r="F551" s="29">
        <v>16</v>
      </c>
      <c r="G551" s="29">
        <v>66.666666666666657</v>
      </c>
    </row>
    <row r="552" spans="1:7" x14ac:dyDescent="0.3">
      <c r="A552" s="28">
        <v>42675</v>
      </c>
      <c r="B552" s="29" t="s">
        <v>29</v>
      </c>
      <c r="C552" s="29">
        <v>475</v>
      </c>
      <c r="D552" s="29">
        <v>3.446315789473684</v>
      </c>
      <c r="E552" s="29">
        <v>44.210526315789473</v>
      </c>
      <c r="F552" s="29">
        <v>265</v>
      </c>
      <c r="G552" s="29">
        <v>55.78947368421052</v>
      </c>
    </row>
    <row r="553" spans="1:7" x14ac:dyDescent="0.3">
      <c r="A553" s="26">
        <v>42675</v>
      </c>
      <c r="B553" s="27" t="s">
        <v>30</v>
      </c>
      <c r="C553" s="27">
        <v>627</v>
      </c>
      <c r="D553" s="27">
        <v>3.4162679425837319</v>
      </c>
      <c r="E553" s="27">
        <v>50.558213716108455</v>
      </c>
      <c r="F553" s="27">
        <v>310</v>
      </c>
      <c r="G553" s="27">
        <v>49.441786283891545</v>
      </c>
    </row>
    <row r="554" spans="1:7" x14ac:dyDescent="0.3">
      <c r="A554" s="28">
        <v>42705</v>
      </c>
      <c r="B554" s="29" t="s">
        <v>7</v>
      </c>
      <c r="C554" s="29">
        <v>74</v>
      </c>
      <c r="D554" s="29">
        <v>3.2027027027027026</v>
      </c>
      <c r="E554" s="29">
        <v>41.891891891891895</v>
      </c>
      <c r="F554" s="29">
        <v>43</v>
      </c>
      <c r="G554" s="29">
        <v>58.108108108108105</v>
      </c>
    </row>
    <row r="555" spans="1:7" x14ac:dyDescent="0.3">
      <c r="A555" s="28">
        <v>42705</v>
      </c>
      <c r="B555" s="29" t="s">
        <v>8</v>
      </c>
      <c r="C555" s="29">
        <v>20</v>
      </c>
      <c r="D555" s="29">
        <v>3.25</v>
      </c>
      <c r="E555" s="29">
        <v>40</v>
      </c>
      <c r="F555" s="29">
        <v>12</v>
      </c>
      <c r="G555" s="29">
        <v>60</v>
      </c>
    </row>
    <row r="556" spans="1:7" x14ac:dyDescent="0.3">
      <c r="A556" s="28">
        <v>42705</v>
      </c>
      <c r="B556" s="29" t="s">
        <v>9</v>
      </c>
      <c r="C556" s="29">
        <v>9</v>
      </c>
      <c r="D556" s="29">
        <v>3.7777777777777777</v>
      </c>
      <c r="E556" s="29">
        <v>22.222222222222221</v>
      </c>
      <c r="F556" s="29">
        <v>7</v>
      </c>
      <c r="G556" s="29">
        <v>77.777777777777786</v>
      </c>
    </row>
    <row r="557" spans="1:7" x14ac:dyDescent="0.3">
      <c r="A557" s="28">
        <v>42705</v>
      </c>
      <c r="B557" s="29" t="s">
        <v>10</v>
      </c>
      <c r="C557" s="29">
        <v>395</v>
      </c>
      <c r="D557" s="29">
        <v>3.3240506329113924</v>
      </c>
      <c r="E557" s="29">
        <v>44.050632911392405</v>
      </c>
      <c r="F557" s="29">
        <v>221</v>
      </c>
      <c r="G557" s="29">
        <v>55.949367088607595</v>
      </c>
    </row>
    <row r="558" spans="1:7" x14ac:dyDescent="0.3">
      <c r="A558" s="28">
        <v>42705</v>
      </c>
      <c r="B558" s="29" t="s">
        <v>11</v>
      </c>
      <c r="C558" s="29">
        <v>394</v>
      </c>
      <c r="D558" s="29">
        <v>3.4720812182741119</v>
      </c>
      <c r="E558" s="29">
        <v>43.654822335025379</v>
      </c>
      <c r="F558" s="29">
        <v>222</v>
      </c>
      <c r="G558" s="29">
        <v>56.345177664974621</v>
      </c>
    </row>
    <row r="559" spans="1:7" x14ac:dyDescent="0.3">
      <c r="A559" s="26">
        <v>42705</v>
      </c>
      <c r="B559" s="27" t="s">
        <v>12</v>
      </c>
      <c r="C559" s="27">
        <v>771</v>
      </c>
      <c r="D559" s="27">
        <v>3.5006485084306096</v>
      </c>
      <c r="E559" s="27">
        <v>45.136186770428019</v>
      </c>
      <c r="F559" s="27">
        <v>423</v>
      </c>
      <c r="G559" s="27">
        <v>54.863813229571988</v>
      </c>
    </row>
    <row r="560" spans="1:7" x14ac:dyDescent="0.3">
      <c r="A560" s="28">
        <v>42705</v>
      </c>
      <c r="B560" s="29" t="s">
        <v>13</v>
      </c>
      <c r="C560" s="29">
        <v>104</v>
      </c>
      <c r="D560" s="29">
        <v>3.6923076923076925</v>
      </c>
      <c r="E560" s="29">
        <v>41.346153846153847</v>
      </c>
      <c r="F560" s="29">
        <v>61</v>
      </c>
      <c r="G560" s="29">
        <v>58.653846153846153</v>
      </c>
    </row>
    <row r="561" spans="1:7" x14ac:dyDescent="0.3">
      <c r="A561" s="28">
        <v>42705</v>
      </c>
      <c r="B561" s="29" t="s">
        <v>14</v>
      </c>
      <c r="C561" s="29">
        <v>525</v>
      </c>
      <c r="D561" s="29">
        <v>3.4533333333333331</v>
      </c>
      <c r="E561" s="29">
        <v>44.19047619047619</v>
      </c>
      <c r="F561" s="29">
        <v>293</v>
      </c>
      <c r="G561" s="29">
        <v>55.80952380952381</v>
      </c>
    </row>
    <row r="562" spans="1:7" x14ac:dyDescent="0.3">
      <c r="A562" s="26">
        <v>42705</v>
      </c>
      <c r="B562" s="27" t="s">
        <v>15</v>
      </c>
      <c r="C562" s="27">
        <v>13</v>
      </c>
      <c r="D562" s="27">
        <v>3.6153846153846154</v>
      </c>
      <c r="E562" s="27">
        <v>61.53846153846154</v>
      </c>
      <c r="F562" s="27">
        <v>5</v>
      </c>
      <c r="G562" s="27">
        <v>38.461538461538467</v>
      </c>
    </row>
    <row r="563" spans="1:7" x14ac:dyDescent="0.3">
      <c r="A563" s="28">
        <v>42705</v>
      </c>
      <c r="B563" s="29" t="s">
        <v>16</v>
      </c>
      <c r="C563" s="29">
        <v>46</v>
      </c>
      <c r="D563" s="29">
        <v>3.6956521739130435</v>
      </c>
      <c r="E563" s="29">
        <v>23.913043478260871</v>
      </c>
      <c r="F563" s="29">
        <v>35</v>
      </c>
      <c r="G563" s="29">
        <v>76.08695652173914</v>
      </c>
    </row>
    <row r="564" spans="1:7" x14ac:dyDescent="0.3">
      <c r="A564" s="26">
        <v>42705</v>
      </c>
      <c r="B564" s="27" t="s">
        <v>17</v>
      </c>
      <c r="C564" s="27">
        <v>11</v>
      </c>
      <c r="D564" s="27">
        <v>4.0909090909090908</v>
      </c>
      <c r="E564" s="27">
        <v>45.454545454545453</v>
      </c>
      <c r="F564" s="27">
        <v>6</v>
      </c>
      <c r="G564" s="27">
        <v>54.54545454545454</v>
      </c>
    </row>
    <row r="565" spans="1:7" x14ac:dyDescent="0.3">
      <c r="A565" s="28">
        <v>42705</v>
      </c>
      <c r="B565" s="29" t="s">
        <v>18</v>
      </c>
      <c r="C565" s="29">
        <v>61</v>
      </c>
      <c r="D565" s="29">
        <v>3.557377049180328</v>
      </c>
      <c r="E565" s="29">
        <v>39.344262295081968</v>
      </c>
      <c r="F565" s="29">
        <v>37</v>
      </c>
      <c r="G565" s="29">
        <v>60.655737704918032</v>
      </c>
    </row>
    <row r="566" spans="1:7" x14ac:dyDescent="0.3">
      <c r="A566" s="28">
        <v>42705</v>
      </c>
      <c r="B566" s="29" t="s">
        <v>19</v>
      </c>
      <c r="C566" s="29">
        <v>36</v>
      </c>
      <c r="D566" s="29">
        <v>3.8611111111111112</v>
      </c>
      <c r="E566" s="29">
        <v>38.888888888888893</v>
      </c>
      <c r="F566" s="29">
        <v>22</v>
      </c>
      <c r="G566" s="29">
        <v>61.111111111111114</v>
      </c>
    </row>
    <row r="567" spans="1:7" x14ac:dyDescent="0.3">
      <c r="A567" s="26">
        <v>42705</v>
      </c>
      <c r="B567" s="27" t="s">
        <v>20</v>
      </c>
      <c r="C567" s="27">
        <v>13</v>
      </c>
      <c r="D567" s="27">
        <v>3.3846153846153846</v>
      </c>
      <c r="E567" s="27">
        <v>53.846153846153847</v>
      </c>
      <c r="F567" s="27">
        <v>6</v>
      </c>
      <c r="G567" s="27">
        <v>46.153846153846153</v>
      </c>
    </row>
    <row r="568" spans="1:7" x14ac:dyDescent="0.3">
      <c r="A568" s="26">
        <v>42705</v>
      </c>
      <c r="B568" s="27" t="s">
        <v>21</v>
      </c>
      <c r="C568" s="27">
        <v>21</v>
      </c>
      <c r="D568" s="27">
        <v>2.7619047619047619</v>
      </c>
      <c r="E568" s="27">
        <v>57.142857142857139</v>
      </c>
      <c r="F568" s="27">
        <v>9</v>
      </c>
      <c r="G568" s="27">
        <v>42.857142857142854</v>
      </c>
    </row>
    <row r="569" spans="1:7" x14ac:dyDescent="0.3">
      <c r="A569" s="28">
        <v>42705</v>
      </c>
      <c r="B569" s="29" t="s">
        <v>22</v>
      </c>
      <c r="C569" s="29">
        <v>11</v>
      </c>
      <c r="D569" s="29">
        <v>3.7272727272727271</v>
      </c>
      <c r="E569" s="29">
        <v>18.181818181818183</v>
      </c>
      <c r="F569" s="29">
        <v>9</v>
      </c>
      <c r="G569" s="29">
        <v>81.818181818181827</v>
      </c>
    </row>
    <row r="570" spans="1:7" x14ac:dyDescent="0.3">
      <c r="A570" s="28">
        <v>42705</v>
      </c>
      <c r="B570" s="29" t="s">
        <v>23</v>
      </c>
      <c r="C570" s="29">
        <v>606</v>
      </c>
      <c r="D570" s="29">
        <v>3.4207920792079207</v>
      </c>
      <c r="E570" s="29">
        <v>42.244224422442244</v>
      </c>
      <c r="F570" s="29">
        <v>350</v>
      </c>
      <c r="G570" s="29">
        <v>57.755775577557756</v>
      </c>
    </row>
    <row r="571" spans="1:7" x14ac:dyDescent="0.3">
      <c r="A571" s="28">
        <v>42705</v>
      </c>
      <c r="B571" s="29" t="s">
        <v>24</v>
      </c>
      <c r="C571" s="29">
        <v>14</v>
      </c>
      <c r="D571" s="29">
        <v>3.7142857142857144</v>
      </c>
      <c r="E571" s="29">
        <v>14.285714285714285</v>
      </c>
      <c r="F571" s="29">
        <v>12</v>
      </c>
      <c r="G571" s="29">
        <v>85.714285714285708</v>
      </c>
    </row>
    <row r="572" spans="1:7" x14ac:dyDescent="0.3">
      <c r="A572" s="28">
        <v>42705</v>
      </c>
      <c r="B572" s="29" t="s">
        <v>25</v>
      </c>
      <c r="C572" s="29">
        <v>686</v>
      </c>
      <c r="D572" s="29">
        <v>3.4970845481049562</v>
      </c>
      <c r="E572" s="29">
        <v>43.586005830903787</v>
      </c>
      <c r="F572" s="29">
        <v>387</v>
      </c>
      <c r="G572" s="29">
        <v>56.413994169096213</v>
      </c>
    </row>
    <row r="573" spans="1:7" x14ac:dyDescent="0.3">
      <c r="A573" s="26">
        <v>42705</v>
      </c>
      <c r="B573" s="27" t="s">
        <v>26</v>
      </c>
      <c r="C573" s="27">
        <v>336</v>
      </c>
      <c r="D573" s="27">
        <v>3.3720238095238093</v>
      </c>
      <c r="E573" s="27">
        <v>45.238095238095241</v>
      </c>
      <c r="F573" s="27">
        <v>184</v>
      </c>
      <c r="G573" s="27">
        <v>54.761904761904766</v>
      </c>
    </row>
    <row r="574" spans="1:7" x14ac:dyDescent="0.3">
      <c r="A574" s="26">
        <v>42705</v>
      </c>
      <c r="B574" s="27" t="s">
        <v>27</v>
      </c>
      <c r="C574" s="27">
        <v>14</v>
      </c>
      <c r="D574" s="27">
        <v>2.5714285714285716</v>
      </c>
      <c r="E574" s="27">
        <v>57.142857142857139</v>
      </c>
      <c r="F574" s="27">
        <v>6</v>
      </c>
      <c r="G574" s="27">
        <v>42.857142857142854</v>
      </c>
    </row>
    <row r="575" spans="1:7" x14ac:dyDescent="0.3">
      <c r="A575" s="28">
        <v>42705</v>
      </c>
      <c r="B575" s="29" t="s">
        <v>28</v>
      </c>
      <c r="C575" s="29">
        <v>32</v>
      </c>
      <c r="D575" s="29">
        <v>3.4375</v>
      </c>
      <c r="E575" s="29">
        <v>40.625</v>
      </c>
      <c r="F575" s="29">
        <v>19</v>
      </c>
      <c r="G575" s="29">
        <v>59.375</v>
      </c>
    </row>
    <row r="576" spans="1:7" x14ac:dyDescent="0.3">
      <c r="A576" s="28">
        <v>42705</v>
      </c>
      <c r="B576" s="29" t="s">
        <v>29</v>
      </c>
      <c r="C576" s="29">
        <v>446</v>
      </c>
      <c r="D576" s="29">
        <v>3.4753363228699552</v>
      </c>
      <c r="E576" s="29">
        <v>44.394618834080717</v>
      </c>
      <c r="F576" s="29">
        <v>248</v>
      </c>
      <c r="G576" s="29">
        <v>55.60538116591929</v>
      </c>
    </row>
    <row r="577" spans="1:7" x14ac:dyDescent="0.3">
      <c r="A577" s="28">
        <v>42705</v>
      </c>
      <c r="B577" s="29" t="s">
        <v>30</v>
      </c>
      <c r="C577" s="29">
        <v>631</v>
      </c>
      <c r="D577" s="29">
        <v>3.4294770206022185</v>
      </c>
      <c r="E577" s="29">
        <v>43.106180665610147</v>
      </c>
      <c r="F577" s="29">
        <v>359</v>
      </c>
      <c r="G577" s="29">
        <v>56.89381933438986</v>
      </c>
    </row>
    <row r="578" spans="1:7" x14ac:dyDescent="0.3">
      <c r="A578" s="28">
        <v>42736</v>
      </c>
      <c r="B578" s="29" t="s">
        <v>7</v>
      </c>
      <c r="C578" s="29">
        <v>64</v>
      </c>
      <c r="D578" s="29">
        <v>3.828125</v>
      </c>
      <c r="E578" s="29">
        <v>40.625</v>
      </c>
      <c r="F578" s="29">
        <v>38</v>
      </c>
      <c r="G578" s="29">
        <v>59.375</v>
      </c>
    </row>
    <row r="579" spans="1:7" x14ac:dyDescent="0.3">
      <c r="A579" s="28">
        <v>42736</v>
      </c>
      <c r="B579" s="29" t="s">
        <v>8</v>
      </c>
      <c r="C579" s="29">
        <v>24</v>
      </c>
      <c r="D579" s="29">
        <v>3.75</v>
      </c>
      <c r="E579" s="29">
        <v>41.666666666666671</v>
      </c>
      <c r="F579" s="29">
        <v>14</v>
      </c>
      <c r="G579" s="29">
        <v>58.333333333333336</v>
      </c>
    </row>
    <row r="580" spans="1:7" x14ac:dyDescent="0.3">
      <c r="A580" s="28">
        <v>42736</v>
      </c>
      <c r="B580" s="29" t="s">
        <v>9</v>
      </c>
      <c r="C580" s="29">
        <v>11</v>
      </c>
      <c r="D580" s="29">
        <v>3.4545454545454546</v>
      </c>
      <c r="E580" s="29">
        <v>36.363636363636367</v>
      </c>
      <c r="F580" s="29">
        <v>7</v>
      </c>
      <c r="G580" s="29">
        <v>63.636363636363633</v>
      </c>
    </row>
    <row r="581" spans="1:7" x14ac:dyDescent="0.3">
      <c r="A581" s="26">
        <v>42736</v>
      </c>
      <c r="B581" s="27" t="s">
        <v>10</v>
      </c>
      <c r="C581" s="27">
        <v>425</v>
      </c>
      <c r="D581" s="27">
        <v>3.4235294117647057</v>
      </c>
      <c r="E581" s="27">
        <v>49.882352941176471</v>
      </c>
      <c r="F581" s="27">
        <v>213</v>
      </c>
      <c r="G581" s="27">
        <v>50.117647058823536</v>
      </c>
    </row>
    <row r="582" spans="1:7" x14ac:dyDescent="0.3">
      <c r="A582" s="26">
        <v>42736</v>
      </c>
      <c r="B582" s="27" t="s">
        <v>11</v>
      </c>
      <c r="C582" s="27">
        <v>403</v>
      </c>
      <c r="D582" s="27">
        <v>3.5682382133995039</v>
      </c>
      <c r="E582" s="27">
        <v>48.635235732009924</v>
      </c>
      <c r="F582" s="27">
        <v>207</v>
      </c>
      <c r="G582" s="27">
        <v>51.364764267990068</v>
      </c>
    </row>
    <row r="583" spans="1:7" x14ac:dyDescent="0.3">
      <c r="A583" s="26">
        <v>42736</v>
      </c>
      <c r="B583" s="27" t="s">
        <v>12</v>
      </c>
      <c r="C583" s="27">
        <v>757</v>
      </c>
      <c r="D583" s="27">
        <v>3.5838837516512552</v>
      </c>
      <c r="E583" s="27">
        <v>47.6882430647292</v>
      </c>
      <c r="F583" s="27">
        <v>396</v>
      </c>
      <c r="G583" s="27">
        <v>52.3117569352708</v>
      </c>
    </row>
    <row r="584" spans="1:7" x14ac:dyDescent="0.3">
      <c r="A584" s="26">
        <v>42736</v>
      </c>
      <c r="B584" s="27" t="s">
        <v>13</v>
      </c>
      <c r="C584" s="27">
        <v>95</v>
      </c>
      <c r="D584" s="27">
        <v>3.5263157894736841</v>
      </c>
      <c r="E584" s="27">
        <v>47.368421052631575</v>
      </c>
      <c r="F584" s="27">
        <v>50</v>
      </c>
      <c r="G584" s="27">
        <v>52.631578947368418</v>
      </c>
    </row>
    <row r="585" spans="1:7" x14ac:dyDescent="0.3">
      <c r="A585" s="28">
        <v>42736</v>
      </c>
      <c r="B585" s="29" t="s">
        <v>14</v>
      </c>
      <c r="C585" s="29">
        <v>503</v>
      </c>
      <c r="D585" s="29">
        <v>3.6083499005964215</v>
      </c>
      <c r="E585" s="29">
        <v>43.141153081510936</v>
      </c>
      <c r="F585" s="29">
        <v>286</v>
      </c>
      <c r="G585" s="29">
        <v>56.858846918489071</v>
      </c>
    </row>
    <row r="586" spans="1:7" x14ac:dyDescent="0.3">
      <c r="A586" s="26">
        <v>42736</v>
      </c>
      <c r="B586" s="27" t="s">
        <v>15</v>
      </c>
      <c r="C586" s="27">
        <v>11</v>
      </c>
      <c r="D586" s="27">
        <v>3.5454545454545454</v>
      </c>
      <c r="E586" s="27">
        <v>54.54545454545454</v>
      </c>
      <c r="F586" s="27">
        <v>5</v>
      </c>
      <c r="G586" s="27">
        <v>45.454545454545453</v>
      </c>
    </row>
    <row r="587" spans="1:7" x14ac:dyDescent="0.3">
      <c r="A587" s="28">
        <v>42736</v>
      </c>
      <c r="B587" s="29" t="s">
        <v>16</v>
      </c>
      <c r="C587" s="29">
        <v>30</v>
      </c>
      <c r="D587" s="29">
        <v>3.2333333333333334</v>
      </c>
      <c r="E587" s="29">
        <v>36.666666666666664</v>
      </c>
      <c r="F587" s="29">
        <v>19</v>
      </c>
      <c r="G587" s="29">
        <v>63.333333333333329</v>
      </c>
    </row>
    <row r="588" spans="1:7" x14ac:dyDescent="0.3">
      <c r="A588" s="26">
        <v>42736</v>
      </c>
      <c r="B588" s="27" t="s">
        <v>17</v>
      </c>
      <c r="C588" s="27">
        <v>9</v>
      </c>
      <c r="D588" s="27">
        <v>3.6666666666666665</v>
      </c>
      <c r="E588" s="27">
        <v>55.555555555555557</v>
      </c>
      <c r="F588" s="27">
        <v>4</v>
      </c>
      <c r="G588" s="27">
        <v>44.444444444444443</v>
      </c>
    </row>
    <row r="589" spans="1:7" x14ac:dyDescent="0.3">
      <c r="A589" s="26">
        <v>42736</v>
      </c>
      <c r="B589" s="27" t="s">
        <v>18</v>
      </c>
      <c r="C589" s="27">
        <v>54</v>
      </c>
      <c r="D589" s="27">
        <v>3.2592592592592591</v>
      </c>
      <c r="E589" s="27">
        <v>46.296296296296298</v>
      </c>
      <c r="F589" s="27">
        <v>29</v>
      </c>
      <c r="G589" s="27">
        <v>53.703703703703709</v>
      </c>
    </row>
    <row r="590" spans="1:7" x14ac:dyDescent="0.3">
      <c r="A590" s="28">
        <v>42736</v>
      </c>
      <c r="B590" s="29" t="s">
        <v>19</v>
      </c>
      <c r="C590" s="29">
        <v>24</v>
      </c>
      <c r="D590" s="29">
        <v>3.25</v>
      </c>
      <c r="E590" s="29">
        <v>33.333333333333329</v>
      </c>
      <c r="F590" s="29">
        <v>16</v>
      </c>
      <c r="G590" s="29">
        <v>66.666666666666657</v>
      </c>
    </row>
    <row r="591" spans="1:7" x14ac:dyDescent="0.3">
      <c r="A591" s="26">
        <v>42736</v>
      </c>
      <c r="B591" s="27" t="s">
        <v>20</v>
      </c>
      <c r="C591" s="27">
        <v>10</v>
      </c>
      <c r="D591" s="27">
        <v>3.2</v>
      </c>
      <c r="E591" s="27">
        <v>70</v>
      </c>
      <c r="F591" s="27">
        <v>3</v>
      </c>
      <c r="G591" s="27">
        <v>30</v>
      </c>
    </row>
    <row r="592" spans="1:7" x14ac:dyDescent="0.3">
      <c r="A592" s="26">
        <v>42736</v>
      </c>
      <c r="B592" s="27" t="s">
        <v>21</v>
      </c>
      <c r="C592" s="27">
        <v>13</v>
      </c>
      <c r="D592" s="27">
        <v>4.1538461538461542</v>
      </c>
      <c r="E592" s="27">
        <v>46.153846153846153</v>
      </c>
      <c r="F592" s="27">
        <v>7</v>
      </c>
      <c r="G592" s="27">
        <v>53.846153846153847</v>
      </c>
    </row>
    <row r="593" spans="1:7" x14ac:dyDescent="0.3">
      <c r="A593" s="26">
        <v>42736</v>
      </c>
      <c r="B593" s="27" t="s">
        <v>22</v>
      </c>
      <c r="C593" s="27">
        <v>10</v>
      </c>
      <c r="D593" s="27">
        <v>3.3</v>
      </c>
      <c r="E593" s="27">
        <v>50</v>
      </c>
      <c r="F593" s="27">
        <v>5</v>
      </c>
      <c r="G593" s="27">
        <v>50</v>
      </c>
    </row>
    <row r="594" spans="1:7" x14ac:dyDescent="0.3">
      <c r="A594" s="28">
        <v>42736</v>
      </c>
      <c r="B594" s="29" t="s">
        <v>23</v>
      </c>
      <c r="C594" s="29">
        <v>614</v>
      </c>
      <c r="D594" s="29">
        <v>3.5830618892508141</v>
      </c>
      <c r="E594" s="29">
        <v>42.508143322475576</v>
      </c>
      <c r="F594" s="29">
        <v>353</v>
      </c>
      <c r="G594" s="29">
        <v>57.491856677524432</v>
      </c>
    </row>
    <row r="595" spans="1:7" x14ac:dyDescent="0.3">
      <c r="A595" s="26">
        <v>42736</v>
      </c>
      <c r="B595" s="27" t="s">
        <v>24</v>
      </c>
      <c r="C595" s="27">
        <v>14</v>
      </c>
      <c r="D595" s="27">
        <v>3</v>
      </c>
      <c r="E595" s="27">
        <v>71.428571428571431</v>
      </c>
      <c r="F595" s="27">
        <v>4</v>
      </c>
      <c r="G595" s="27">
        <v>28.571428571428569</v>
      </c>
    </row>
    <row r="596" spans="1:7" x14ac:dyDescent="0.3">
      <c r="A596" s="26">
        <v>42736</v>
      </c>
      <c r="B596" s="27" t="s">
        <v>25</v>
      </c>
      <c r="C596" s="27">
        <v>663</v>
      </c>
      <c r="D596" s="27">
        <v>3.4841628959276019</v>
      </c>
      <c r="E596" s="27">
        <v>49.62292609351433</v>
      </c>
      <c r="F596" s="27">
        <v>334</v>
      </c>
      <c r="G596" s="27">
        <v>50.37707390648567</v>
      </c>
    </row>
    <row r="597" spans="1:7" x14ac:dyDescent="0.3">
      <c r="A597" s="26">
        <v>42736</v>
      </c>
      <c r="B597" s="27" t="s">
        <v>26</v>
      </c>
      <c r="C597" s="27">
        <v>355</v>
      </c>
      <c r="D597" s="27">
        <v>3.5971830985915494</v>
      </c>
      <c r="E597" s="27">
        <v>46.197183098591552</v>
      </c>
      <c r="F597" s="27">
        <v>191</v>
      </c>
      <c r="G597" s="27">
        <v>53.802816901408448</v>
      </c>
    </row>
    <row r="598" spans="1:7" x14ac:dyDescent="0.3">
      <c r="A598" s="28">
        <v>42736</v>
      </c>
      <c r="B598" s="29" t="s">
        <v>27</v>
      </c>
      <c r="C598" s="29">
        <v>14</v>
      </c>
      <c r="D598" s="29">
        <v>3.4285714285714284</v>
      </c>
      <c r="E598" s="29">
        <v>35.714285714285715</v>
      </c>
      <c r="F598" s="29">
        <v>9</v>
      </c>
      <c r="G598" s="29">
        <v>64.285714285714292</v>
      </c>
    </row>
    <row r="599" spans="1:7" x14ac:dyDescent="0.3">
      <c r="A599" s="26">
        <v>42736</v>
      </c>
      <c r="B599" s="27" t="s">
        <v>28</v>
      </c>
      <c r="C599" s="27">
        <v>28</v>
      </c>
      <c r="D599" s="27">
        <v>3.9285714285714284</v>
      </c>
      <c r="E599" s="27">
        <v>53.571428571428569</v>
      </c>
      <c r="F599" s="27">
        <v>13</v>
      </c>
      <c r="G599" s="27">
        <v>46.428571428571431</v>
      </c>
    </row>
    <row r="600" spans="1:7" x14ac:dyDescent="0.3">
      <c r="A600" s="28">
        <v>42736</v>
      </c>
      <c r="B600" s="29" t="s">
        <v>29</v>
      </c>
      <c r="C600" s="29">
        <v>432</v>
      </c>
      <c r="D600" s="29">
        <v>3.511574074074074</v>
      </c>
      <c r="E600" s="29">
        <v>44.907407407407405</v>
      </c>
      <c r="F600" s="29">
        <v>238</v>
      </c>
      <c r="G600" s="29">
        <v>55.092592592592595</v>
      </c>
    </row>
    <row r="601" spans="1:7" x14ac:dyDescent="0.3">
      <c r="A601" s="26">
        <v>42736</v>
      </c>
      <c r="B601" s="27" t="s">
        <v>30</v>
      </c>
      <c r="C601" s="27">
        <v>654</v>
      </c>
      <c r="D601" s="27">
        <v>3.5290519877675841</v>
      </c>
      <c r="E601" s="27">
        <v>48.929663608562691</v>
      </c>
      <c r="F601" s="27">
        <v>334</v>
      </c>
      <c r="G601" s="27">
        <v>51.070336391437309</v>
      </c>
    </row>
    <row r="602" spans="1:7" x14ac:dyDescent="0.3">
      <c r="A602" s="26">
        <v>42767</v>
      </c>
      <c r="B602" s="27" t="s">
        <v>7</v>
      </c>
      <c r="C602" s="27">
        <v>59</v>
      </c>
      <c r="D602" s="27">
        <v>3.4915254237288136</v>
      </c>
      <c r="E602" s="27">
        <v>49.152542372881356</v>
      </c>
      <c r="F602" s="27">
        <v>30</v>
      </c>
      <c r="G602" s="27">
        <v>50.847457627118644</v>
      </c>
    </row>
    <row r="603" spans="1:7" x14ac:dyDescent="0.3">
      <c r="A603" s="26">
        <v>42767</v>
      </c>
      <c r="B603" s="27" t="s">
        <v>8</v>
      </c>
      <c r="C603" s="27">
        <v>17</v>
      </c>
      <c r="D603" s="27">
        <v>3.0588235294117645</v>
      </c>
      <c r="E603" s="27">
        <v>52.941176470588239</v>
      </c>
      <c r="F603" s="27">
        <v>8</v>
      </c>
      <c r="G603" s="27">
        <v>47.058823529411761</v>
      </c>
    </row>
    <row r="604" spans="1:7" x14ac:dyDescent="0.3">
      <c r="A604" s="26">
        <v>42767</v>
      </c>
      <c r="B604" s="27" t="s">
        <v>9</v>
      </c>
      <c r="C604" s="27">
        <v>10</v>
      </c>
      <c r="D604" s="27">
        <v>3.2</v>
      </c>
      <c r="E604" s="27">
        <v>50</v>
      </c>
      <c r="F604" s="27">
        <v>5</v>
      </c>
      <c r="G604" s="27">
        <v>50</v>
      </c>
    </row>
    <row r="605" spans="1:7" x14ac:dyDescent="0.3">
      <c r="A605" s="28">
        <v>42767</v>
      </c>
      <c r="B605" s="29" t="s">
        <v>10</v>
      </c>
      <c r="C605" s="29">
        <v>422</v>
      </c>
      <c r="D605" s="29">
        <v>3.5402843601895735</v>
      </c>
      <c r="E605" s="29">
        <v>42.654028436018962</v>
      </c>
      <c r="F605" s="29">
        <v>242</v>
      </c>
      <c r="G605" s="29">
        <v>57.345971563981045</v>
      </c>
    </row>
    <row r="606" spans="1:7" x14ac:dyDescent="0.3">
      <c r="A606" s="28">
        <v>42767</v>
      </c>
      <c r="B606" s="29" t="s">
        <v>11</v>
      </c>
      <c r="C606" s="29">
        <v>398</v>
      </c>
      <c r="D606" s="29">
        <v>3.5276381909547738</v>
      </c>
      <c r="E606" s="29">
        <v>43.21608040201005</v>
      </c>
      <c r="F606" s="29">
        <v>226</v>
      </c>
      <c r="G606" s="29">
        <v>56.78391959798995</v>
      </c>
    </row>
    <row r="607" spans="1:7" x14ac:dyDescent="0.3">
      <c r="A607" s="26">
        <v>42767</v>
      </c>
      <c r="B607" s="27" t="s">
        <v>12</v>
      </c>
      <c r="C607" s="27">
        <v>696</v>
      </c>
      <c r="D607" s="27">
        <v>3.4080459770114944</v>
      </c>
      <c r="E607" s="27">
        <v>46.695402298850574</v>
      </c>
      <c r="F607" s="27">
        <v>371</v>
      </c>
      <c r="G607" s="27">
        <v>53.304597701149426</v>
      </c>
    </row>
    <row r="608" spans="1:7" x14ac:dyDescent="0.3">
      <c r="A608" s="28">
        <v>42767</v>
      </c>
      <c r="B608" s="29" t="s">
        <v>13</v>
      </c>
      <c r="C608" s="29">
        <v>101</v>
      </c>
      <c r="D608" s="29">
        <v>3.2970297029702968</v>
      </c>
      <c r="E608" s="29">
        <v>42.574257425742573</v>
      </c>
      <c r="F608" s="29">
        <v>58</v>
      </c>
      <c r="G608" s="29">
        <v>57.42574257425742</v>
      </c>
    </row>
    <row r="609" spans="1:7" x14ac:dyDescent="0.3">
      <c r="A609" s="28">
        <v>42767</v>
      </c>
      <c r="B609" s="29" t="s">
        <v>14</v>
      </c>
      <c r="C609" s="29">
        <v>481</v>
      </c>
      <c r="D609" s="29">
        <v>3.5280665280665282</v>
      </c>
      <c r="E609" s="29">
        <v>44.07484407484408</v>
      </c>
      <c r="F609" s="29">
        <v>269</v>
      </c>
      <c r="G609" s="29">
        <v>55.92515592515592</v>
      </c>
    </row>
    <row r="610" spans="1:7" x14ac:dyDescent="0.3">
      <c r="A610" s="28">
        <v>42767</v>
      </c>
      <c r="B610" s="29" t="s">
        <v>15</v>
      </c>
      <c r="C610" s="29">
        <v>9</v>
      </c>
      <c r="D610" s="29">
        <v>4.1111111111111107</v>
      </c>
      <c r="E610" s="29">
        <v>33.333333333333329</v>
      </c>
      <c r="F610" s="29">
        <v>6</v>
      </c>
      <c r="G610" s="29">
        <v>66.666666666666657</v>
      </c>
    </row>
    <row r="611" spans="1:7" x14ac:dyDescent="0.3">
      <c r="A611" s="26">
        <v>42767</v>
      </c>
      <c r="B611" s="27" t="s">
        <v>16</v>
      </c>
      <c r="C611" s="27">
        <v>40</v>
      </c>
      <c r="D611" s="27">
        <v>3.35</v>
      </c>
      <c r="E611" s="27">
        <v>47.5</v>
      </c>
      <c r="F611" s="27">
        <v>21</v>
      </c>
      <c r="G611" s="27">
        <v>52.5</v>
      </c>
    </row>
    <row r="612" spans="1:7" x14ac:dyDescent="0.3">
      <c r="A612" s="28">
        <v>42767</v>
      </c>
      <c r="B612" s="29" t="s">
        <v>17</v>
      </c>
      <c r="C612" s="29">
        <v>9</v>
      </c>
      <c r="D612" s="29">
        <v>3.6666666666666665</v>
      </c>
      <c r="E612" s="29">
        <v>44.444444444444443</v>
      </c>
      <c r="F612" s="29">
        <v>5</v>
      </c>
      <c r="G612" s="29">
        <v>55.555555555555557</v>
      </c>
    </row>
    <row r="613" spans="1:7" x14ac:dyDescent="0.3">
      <c r="A613" s="28">
        <v>42767</v>
      </c>
      <c r="B613" s="29" t="s">
        <v>18</v>
      </c>
      <c r="C613" s="29">
        <v>48</v>
      </c>
      <c r="D613" s="29">
        <v>3.7291666666666665</v>
      </c>
      <c r="E613" s="29">
        <v>31.25</v>
      </c>
      <c r="F613" s="29">
        <v>33</v>
      </c>
      <c r="G613" s="29">
        <v>68.75</v>
      </c>
    </row>
    <row r="614" spans="1:7" x14ac:dyDescent="0.3">
      <c r="A614" s="28">
        <v>42767</v>
      </c>
      <c r="B614" s="29" t="s">
        <v>19</v>
      </c>
      <c r="C614" s="29">
        <v>29</v>
      </c>
      <c r="D614" s="29">
        <v>3.7586206896551726</v>
      </c>
      <c r="E614" s="29">
        <v>44.827586206896555</v>
      </c>
      <c r="F614" s="29">
        <v>16</v>
      </c>
      <c r="G614" s="29">
        <v>55.172413793103445</v>
      </c>
    </row>
    <row r="615" spans="1:7" x14ac:dyDescent="0.3">
      <c r="A615" s="28">
        <v>42767</v>
      </c>
      <c r="B615" s="29" t="s">
        <v>20</v>
      </c>
      <c r="C615" s="29">
        <v>15</v>
      </c>
      <c r="D615" s="29">
        <v>3.6666666666666665</v>
      </c>
      <c r="E615" s="29">
        <v>40</v>
      </c>
      <c r="F615" s="29">
        <v>9</v>
      </c>
      <c r="G615" s="29">
        <v>60</v>
      </c>
    </row>
    <row r="616" spans="1:7" x14ac:dyDescent="0.3">
      <c r="A616" s="28">
        <v>42767</v>
      </c>
      <c r="B616" s="29" t="s">
        <v>21</v>
      </c>
      <c r="C616" s="29">
        <v>22</v>
      </c>
      <c r="D616" s="29">
        <v>3.2272727272727271</v>
      </c>
      <c r="E616" s="29">
        <v>31.818181818181817</v>
      </c>
      <c r="F616" s="29">
        <v>15</v>
      </c>
      <c r="G616" s="29">
        <v>68.181818181818173</v>
      </c>
    </row>
    <row r="617" spans="1:7" x14ac:dyDescent="0.3">
      <c r="A617" s="26">
        <v>42767</v>
      </c>
      <c r="B617" s="27" t="s">
        <v>22</v>
      </c>
      <c r="C617" s="27">
        <v>7</v>
      </c>
      <c r="D617" s="27">
        <v>3.4285714285714284</v>
      </c>
      <c r="E617" s="27">
        <v>57.142857142857139</v>
      </c>
      <c r="F617" s="27">
        <v>3</v>
      </c>
      <c r="G617" s="27">
        <v>42.857142857142854</v>
      </c>
    </row>
    <row r="618" spans="1:7" x14ac:dyDescent="0.3">
      <c r="A618" s="26">
        <v>42767</v>
      </c>
      <c r="B618" s="27" t="s">
        <v>23</v>
      </c>
      <c r="C618" s="27">
        <v>578</v>
      </c>
      <c r="D618" s="27">
        <v>3.4342560553633219</v>
      </c>
      <c r="E618" s="27">
        <v>46.193771626297583</v>
      </c>
      <c r="F618" s="27">
        <v>311</v>
      </c>
      <c r="G618" s="27">
        <v>53.806228373702425</v>
      </c>
    </row>
    <row r="619" spans="1:7" x14ac:dyDescent="0.3">
      <c r="A619" s="28">
        <v>42767</v>
      </c>
      <c r="B619" s="29" t="s">
        <v>24</v>
      </c>
      <c r="C619" s="29">
        <v>14</v>
      </c>
      <c r="D619" s="29">
        <v>3.1428571428571428</v>
      </c>
      <c r="E619" s="29">
        <v>42.857142857142854</v>
      </c>
      <c r="F619" s="29">
        <v>8</v>
      </c>
      <c r="G619" s="29">
        <v>57.142857142857139</v>
      </c>
    </row>
    <row r="620" spans="1:7" x14ac:dyDescent="0.3">
      <c r="A620" s="26">
        <v>42767</v>
      </c>
      <c r="B620" s="27" t="s">
        <v>25</v>
      </c>
      <c r="C620" s="27">
        <v>579</v>
      </c>
      <c r="D620" s="27">
        <v>3.5509499136442142</v>
      </c>
      <c r="E620" s="27">
        <v>46.804835924006909</v>
      </c>
      <c r="F620" s="27">
        <v>308</v>
      </c>
      <c r="G620" s="27">
        <v>53.195164075993098</v>
      </c>
    </row>
    <row r="621" spans="1:7" x14ac:dyDescent="0.3">
      <c r="A621" s="26">
        <v>42767</v>
      </c>
      <c r="B621" s="27" t="s">
        <v>26</v>
      </c>
      <c r="C621" s="27">
        <v>268</v>
      </c>
      <c r="D621" s="27">
        <v>3.33955223880597</v>
      </c>
      <c r="E621" s="27">
        <v>48.134328358208954</v>
      </c>
      <c r="F621" s="27">
        <v>139</v>
      </c>
      <c r="G621" s="27">
        <v>51.865671641791046</v>
      </c>
    </row>
    <row r="622" spans="1:7" x14ac:dyDescent="0.3">
      <c r="A622" s="28">
        <v>42767</v>
      </c>
      <c r="B622" s="29" t="s">
        <v>27</v>
      </c>
      <c r="C622" s="29">
        <v>13</v>
      </c>
      <c r="D622" s="29">
        <v>4.7692307692307692</v>
      </c>
      <c r="E622" s="29">
        <v>23.076923076923077</v>
      </c>
      <c r="F622" s="29">
        <v>10</v>
      </c>
      <c r="G622" s="29">
        <v>76.923076923076934</v>
      </c>
    </row>
    <row r="623" spans="1:7" x14ac:dyDescent="0.3">
      <c r="A623" s="26">
        <v>42767</v>
      </c>
      <c r="B623" s="27" t="s">
        <v>28</v>
      </c>
      <c r="C623" s="27">
        <v>24</v>
      </c>
      <c r="D623" s="27">
        <v>3.125</v>
      </c>
      <c r="E623" s="27">
        <v>50</v>
      </c>
      <c r="F623" s="27">
        <v>12</v>
      </c>
      <c r="G623" s="27">
        <v>50</v>
      </c>
    </row>
    <row r="624" spans="1:7" x14ac:dyDescent="0.3">
      <c r="A624" s="26">
        <v>42767</v>
      </c>
      <c r="B624" s="27" t="s">
        <v>29</v>
      </c>
      <c r="C624" s="27">
        <v>443</v>
      </c>
      <c r="D624" s="27">
        <v>3.4650112866817158</v>
      </c>
      <c r="E624" s="27">
        <v>48.984198645598191</v>
      </c>
      <c r="F624" s="27">
        <v>226</v>
      </c>
      <c r="G624" s="27">
        <v>51.015801354401802</v>
      </c>
    </row>
    <row r="625" spans="1:7" x14ac:dyDescent="0.3">
      <c r="A625" s="26">
        <v>42767</v>
      </c>
      <c r="B625" s="27" t="s">
        <v>30</v>
      </c>
      <c r="C625" s="27">
        <v>624</v>
      </c>
      <c r="D625" s="27">
        <v>3.483974358974359</v>
      </c>
      <c r="E625" s="27">
        <v>46.794871794871796</v>
      </c>
      <c r="F625" s="27">
        <v>332</v>
      </c>
      <c r="G625" s="27">
        <v>53.205128205128204</v>
      </c>
    </row>
    <row r="626" spans="1:7" x14ac:dyDescent="0.3">
      <c r="A626" s="26">
        <v>42795</v>
      </c>
      <c r="B626" s="27" t="s">
        <v>7</v>
      </c>
      <c r="C626" s="27">
        <v>69</v>
      </c>
      <c r="D626" s="27">
        <v>3.6086956521739131</v>
      </c>
      <c r="E626" s="27">
        <v>52.173913043478258</v>
      </c>
      <c r="F626" s="27">
        <v>33</v>
      </c>
      <c r="G626" s="27">
        <v>47.826086956521742</v>
      </c>
    </row>
    <row r="627" spans="1:7" x14ac:dyDescent="0.3">
      <c r="A627" s="28">
        <v>42795</v>
      </c>
      <c r="B627" s="29" t="s">
        <v>8</v>
      </c>
      <c r="C627" s="29">
        <v>28</v>
      </c>
      <c r="D627" s="29">
        <v>3.5</v>
      </c>
      <c r="E627" s="29">
        <v>32.142857142857146</v>
      </c>
      <c r="F627" s="29">
        <v>19</v>
      </c>
      <c r="G627" s="29">
        <v>67.857142857142861</v>
      </c>
    </row>
    <row r="628" spans="1:7" x14ac:dyDescent="0.3">
      <c r="A628" s="28">
        <v>42795</v>
      </c>
      <c r="B628" s="29" t="s">
        <v>9</v>
      </c>
      <c r="C628" s="29">
        <v>9</v>
      </c>
      <c r="D628" s="29">
        <v>3.5555555555555554</v>
      </c>
      <c r="E628" s="29">
        <v>44.444444444444443</v>
      </c>
      <c r="F628" s="29">
        <v>5</v>
      </c>
      <c r="G628" s="29">
        <v>55.555555555555557</v>
      </c>
    </row>
    <row r="629" spans="1:7" x14ac:dyDescent="0.3">
      <c r="A629" s="28">
        <v>42795</v>
      </c>
      <c r="B629" s="29" t="s">
        <v>10</v>
      </c>
      <c r="C629" s="29">
        <v>450</v>
      </c>
      <c r="D629" s="29">
        <v>3.5622222222222222</v>
      </c>
      <c r="E629" s="29">
        <v>41.777777777777779</v>
      </c>
      <c r="F629" s="29">
        <v>262</v>
      </c>
      <c r="G629" s="29">
        <v>58.222222222222221</v>
      </c>
    </row>
    <row r="630" spans="1:7" x14ac:dyDescent="0.3">
      <c r="A630" s="28">
        <v>42795</v>
      </c>
      <c r="B630" s="29" t="s">
        <v>11</v>
      </c>
      <c r="C630" s="29">
        <v>361</v>
      </c>
      <c r="D630" s="29">
        <v>3.4875346260387809</v>
      </c>
      <c r="E630" s="29">
        <v>42.659279778393348</v>
      </c>
      <c r="F630" s="29">
        <v>207</v>
      </c>
      <c r="G630" s="29">
        <v>57.340720221606645</v>
      </c>
    </row>
    <row r="631" spans="1:7" x14ac:dyDescent="0.3">
      <c r="A631" s="26">
        <v>42795</v>
      </c>
      <c r="B631" s="27" t="s">
        <v>12</v>
      </c>
      <c r="C631" s="27">
        <v>756</v>
      </c>
      <c r="D631" s="27">
        <v>3.4497354497354498</v>
      </c>
      <c r="E631" s="27">
        <v>46.825396825396822</v>
      </c>
      <c r="F631" s="27">
        <v>402</v>
      </c>
      <c r="G631" s="27">
        <v>53.174603174603178</v>
      </c>
    </row>
    <row r="632" spans="1:7" x14ac:dyDescent="0.3">
      <c r="A632" s="28">
        <v>42795</v>
      </c>
      <c r="B632" s="29" t="s">
        <v>13</v>
      </c>
      <c r="C632" s="29">
        <v>116</v>
      </c>
      <c r="D632" s="29">
        <v>3.5603448275862069</v>
      </c>
      <c r="E632" s="29">
        <v>40.517241379310342</v>
      </c>
      <c r="F632" s="29">
        <v>69</v>
      </c>
      <c r="G632" s="29">
        <v>59.482758620689658</v>
      </c>
    </row>
    <row r="633" spans="1:7" x14ac:dyDescent="0.3">
      <c r="A633" s="26">
        <v>42795</v>
      </c>
      <c r="B633" s="27" t="s">
        <v>14</v>
      </c>
      <c r="C633" s="27">
        <v>516</v>
      </c>
      <c r="D633" s="27">
        <v>3.4786821705426356</v>
      </c>
      <c r="E633" s="27">
        <v>48.643410852713174</v>
      </c>
      <c r="F633" s="27">
        <v>265</v>
      </c>
      <c r="G633" s="27">
        <v>51.356589147286826</v>
      </c>
    </row>
    <row r="634" spans="1:7" x14ac:dyDescent="0.3">
      <c r="A634" s="26">
        <v>42795</v>
      </c>
      <c r="B634" s="27" t="s">
        <v>15</v>
      </c>
      <c r="C634" s="27">
        <v>11</v>
      </c>
      <c r="D634" s="27">
        <v>2.0909090909090908</v>
      </c>
      <c r="E634" s="27">
        <v>63.636363636363633</v>
      </c>
      <c r="F634" s="27">
        <v>4</v>
      </c>
      <c r="G634" s="27">
        <v>36.363636363636367</v>
      </c>
    </row>
    <row r="635" spans="1:7" x14ac:dyDescent="0.3">
      <c r="A635" s="30">
        <v>42795</v>
      </c>
      <c r="B635" s="31" t="s">
        <v>16</v>
      </c>
      <c r="C635" s="31">
        <v>40</v>
      </c>
      <c r="D635" s="31">
        <v>3.5</v>
      </c>
      <c r="E635" s="31">
        <v>45</v>
      </c>
      <c r="F635" s="31">
        <v>22</v>
      </c>
      <c r="G635" s="31">
        <v>55.000000000000007</v>
      </c>
    </row>
    <row r="636" spans="1:7" x14ac:dyDescent="0.3">
      <c r="A636" s="28">
        <v>42795</v>
      </c>
      <c r="B636" s="29" t="s">
        <v>17</v>
      </c>
      <c r="C636" s="29">
        <v>7</v>
      </c>
      <c r="D636" s="29">
        <v>3</v>
      </c>
      <c r="E636" s="29">
        <v>28.571428571428569</v>
      </c>
      <c r="F636" s="29">
        <v>5</v>
      </c>
      <c r="G636" s="29">
        <v>71.428571428571431</v>
      </c>
    </row>
    <row r="637" spans="1:7" x14ac:dyDescent="0.3">
      <c r="A637" s="28">
        <v>42795</v>
      </c>
      <c r="B637" s="29" t="s">
        <v>18</v>
      </c>
      <c r="C637" s="29">
        <v>46</v>
      </c>
      <c r="D637" s="29">
        <v>3.6086956521739131</v>
      </c>
      <c r="E637" s="29">
        <v>43.478260869565219</v>
      </c>
      <c r="F637" s="29">
        <v>26</v>
      </c>
      <c r="G637" s="29">
        <v>56.521739130434781</v>
      </c>
    </row>
    <row r="638" spans="1:7" x14ac:dyDescent="0.3">
      <c r="A638" s="28">
        <v>42795</v>
      </c>
      <c r="B638" s="29" t="s">
        <v>19</v>
      </c>
      <c r="C638" s="29">
        <v>34</v>
      </c>
      <c r="D638" s="29">
        <v>3.4117647058823528</v>
      </c>
      <c r="E638" s="29">
        <v>44.117647058823529</v>
      </c>
      <c r="F638" s="29">
        <v>19</v>
      </c>
      <c r="G638" s="29">
        <v>55.882352941176471</v>
      </c>
    </row>
    <row r="639" spans="1:7" x14ac:dyDescent="0.3">
      <c r="A639" s="26">
        <v>42795</v>
      </c>
      <c r="B639" s="27" t="s">
        <v>20</v>
      </c>
      <c r="C639" s="27">
        <v>8</v>
      </c>
      <c r="D639" s="27">
        <v>3.25</v>
      </c>
      <c r="E639" s="27">
        <v>62.5</v>
      </c>
      <c r="F639" s="27">
        <v>3</v>
      </c>
      <c r="G639" s="27">
        <v>37.5</v>
      </c>
    </row>
    <row r="640" spans="1:7" x14ac:dyDescent="0.3">
      <c r="A640" s="28">
        <v>42795</v>
      </c>
      <c r="B640" s="29" t="s">
        <v>21</v>
      </c>
      <c r="C640" s="29">
        <v>17</v>
      </c>
      <c r="D640" s="29">
        <v>3.2941176470588234</v>
      </c>
      <c r="E640" s="29">
        <v>41.17647058823529</v>
      </c>
      <c r="F640" s="29">
        <v>10</v>
      </c>
      <c r="G640" s="29">
        <v>58.82352941176471</v>
      </c>
    </row>
    <row r="641" spans="1:7" x14ac:dyDescent="0.3">
      <c r="A641" s="28">
        <v>42795</v>
      </c>
      <c r="B641" s="29" t="s">
        <v>22</v>
      </c>
      <c r="C641" s="29">
        <v>12</v>
      </c>
      <c r="D641" s="29">
        <v>4.5</v>
      </c>
      <c r="E641" s="29">
        <v>33.333333333333329</v>
      </c>
      <c r="F641" s="29">
        <v>8</v>
      </c>
      <c r="G641" s="29">
        <v>66.666666666666657</v>
      </c>
    </row>
    <row r="642" spans="1:7" x14ac:dyDescent="0.3">
      <c r="A642" s="28">
        <v>42795</v>
      </c>
      <c r="B642" s="29" t="s">
        <v>23</v>
      </c>
      <c r="C642" s="29">
        <v>592</v>
      </c>
      <c r="D642" s="29">
        <v>3.4864864864864864</v>
      </c>
      <c r="E642" s="29">
        <v>42.398648648648653</v>
      </c>
      <c r="F642" s="29">
        <v>341</v>
      </c>
      <c r="G642" s="29">
        <v>57.601351351351347</v>
      </c>
    </row>
    <row r="643" spans="1:7" x14ac:dyDescent="0.3">
      <c r="A643" s="26">
        <v>42795</v>
      </c>
      <c r="B643" s="27" t="s">
        <v>24</v>
      </c>
      <c r="C643" s="27">
        <v>11</v>
      </c>
      <c r="D643" s="27">
        <v>3.4545454545454546</v>
      </c>
      <c r="E643" s="27">
        <v>45.454545454545453</v>
      </c>
      <c r="F643" s="27">
        <v>6</v>
      </c>
      <c r="G643" s="27">
        <v>54.54545454545454</v>
      </c>
    </row>
    <row r="644" spans="1:7" x14ac:dyDescent="0.3">
      <c r="A644" s="26">
        <v>42795</v>
      </c>
      <c r="B644" s="27" t="s">
        <v>25</v>
      </c>
      <c r="C644" s="27">
        <v>726</v>
      </c>
      <c r="D644" s="27">
        <v>3.4173553719008263</v>
      </c>
      <c r="E644" s="27">
        <v>46.418732782369148</v>
      </c>
      <c r="F644" s="27">
        <v>389</v>
      </c>
      <c r="G644" s="27">
        <v>53.58126721763086</v>
      </c>
    </row>
    <row r="645" spans="1:7" x14ac:dyDescent="0.3">
      <c r="A645" s="28">
        <v>42795</v>
      </c>
      <c r="B645" s="29" t="s">
        <v>26</v>
      </c>
      <c r="C645" s="29">
        <v>347</v>
      </c>
      <c r="D645" s="29">
        <v>3.5850144092219018</v>
      </c>
      <c r="E645" s="29">
        <v>44.380403458213259</v>
      </c>
      <c r="F645" s="29">
        <v>193</v>
      </c>
      <c r="G645" s="29">
        <v>55.619596541786741</v>
      </c>
    </row>
    <row r="646" spans="1:7" x14ac:dyDescent="0.3">
      <c r="A646" s="28">
        <v>42795</v>
      </c>
      <c r="B646" s="29" t="s">
        <v>27</v>
      </c>
      <c r="C646" s="29">
        <v>9</v>
      </c>
      <c r="D646" s="29">
        <v>3.4444444444444446</v>
      </c>
      <c r="E646" s="29">
        <v>44.444444444444443</v>
      </c>
      <c r="F646" s="29">
        <v>5</v>
      </c>
      <c r="G646" s="29">
        <v>55.555555555555557</v>
      </c>
    </row>
    <row r="647" spans="1:7" x14ac:dyDescent="0.3">
      <c r="A647" s="28">
        <v>42795</v>
      </c>
      <c r="B647" s="29" t="s">
        <v>28</v>
      </c>
      <c r="C647" s="29">
        <v>32</v>
      </c>
      <c r="D647" s="29">
        <v>3.25</v>
      </c>
      <c r="E647" s="29">
        <v>40.625</v>
      </c>
      <c r="F647" s="29">
        <v>19</v>
      </c>
      <c r="G647" s="29">
        <v>59.375</v>
      </c>
    </row>
    <row r="648" spans="1:7" x14ac:dyDescent="0.3">
      <c r="A648" s="26">
        <v>42795</v>
      </c>
      <c r="B648" s="27" t="s">
        <v>29</v>
      </c>
      <c r="C648" s="27">
        <v>495</v>
      </c>
      <c r="D648" s="27">
        <v>3.2404040404040404</v>
      </c>
      <c r="E648" s="27">
        <v>47.070707070707066</v>
      </c>
      <c r="F648" s="27">
        <v>262</v>
      </c>
      <c r="G648" s="27">
        <v>52.929292929292927</v>
      </c>
    </row>
    <row r="649" spans="1:7" x14ac:dyDescent="0.3">
      <c r="A649" s="26">
        <v>42795</v>
      </c>
      <c r="B649" s="27" t="s">
        <v>30</v>
      </c>
      <c r="C649" s="27">
        <v>655</v>
      </c>
      <c r="D649" s="27">
        <v>3.4167938931297708</v>
      </c>
      <c r="E649" s="27">
        <v>47.63358778625954</v>
      </c>
      <c r="F649" s="27">
        <v>343</v>
      </c>
      <c r="G649" s="27">
        <v>52.366412213740453</v>
      </c>
    </row>
    <row r="650" spans="1:7" x14ac:dyDescent="0.3">
      <c r="A650" s="28">
        <v>42826</v>
      </c>
      <c r="B650" s="29" t="s">
        <v>7</v>
      </c>
      <c r="C650" s="29">
        <v>49</v>
      </c>
      <c r="D650" s="29">
        <v>3.4489795918367347</v>
      </c>
      <c r="E650" s="29">
        <v>38.775510204081634</v>
      </c>
      <c r="F650" s="29">
        <v>30</v>
      </c>
      <c r="G650" s="29">
        <v>61.224489795918366</v>
      </c>
    </row>
    <row r="651" spans="1:7" x14ac:dyDescent="0.3">
      <c r="A651" s="26">
        <v>42826</v>
      </c>
      <c r="B651" s="27" t="s">
        <v>31</v>
      </c>
      <c r="C651" s="27">
        <v>2</v>
      </c>
      <c r="D651" s="27">
        <v>3</v>
      </c>
      <c r="E651" s="27">
        <v>100</v>
      </c>
      <c r="F651" s="27">
        <v>0</v>
      </c>
      <c r="G651" s="27">
        <v>0</v>
      </c>
    </row>
    <row r="652" spans="1:7" x14ac:dyDescent="0.3">
      <c r="A652" s="26">
        <v>42826</v>
      </c>
      <c r="B652" s="27" t="s">
        <v>8</v>
      </c>
      <c r="C652" s="27">
        <v>21</v>
      </c>
      <c r="D652" s="27">
        <v>3.1904761904761907</v>
      </c>
      <c r="E652" s="27">
        <v>66.666666666666657</v>
      </c>
      <c r="F652" s="27">
        <v>7</v>
      </c>
      <c r="G652" s="27">
        <v>33.333333333333329</v>
      </c>
    </row>
    <row r="653" spans="1:7" x14ac:dyDescent="0.3">
      <c r="A653" s="28">
        <v>42826</v>
      </c>
      <c r="B653" s="29" t="s">
        <v>9</v>
      </c>
      <c r="C653" s="29">
        <v>14</v>
      </c>
      <c r="D653" s="29">
        <v>3.7142857142857144</v>
      </c>
      <c r="E653" s="29">
        <v>35.714285714285715</v>
      </c>
      <c r="F653" s="29">
        <v>9</v>
      </c>
      <c r="G653" s="29">
        <v>64.285714285714292</v>
      </c>
    </row>
    <row r="654" spans="1:7" x14ac:dyDescent="0.3">
      <c r="A654" s="28">
        <v>42826</v>
      </c>
      <c r="B654" s="29" t="s">
        <v>10</v>
      </c>
      <c r="C654" s="29">
        <v>436</v>
      </c>
      <c r="D654" s="29">
        <v>3.6238532110091741</v>
      </c>
      <c r="E654" s="29">
        <v>42.88990825688073</v>
      </c>
      <c r="F654" s="29">
        <v>249</v>
      </c>
      <c r="G654" s="29">
        <v>57.110091743119263</v>
      </c>
    </row>
    <row r="655" spans="1:7" x14ac:dyDescent="0.3">
      <c r="A655" s="28">
        <v>42826</v>
      </c>
      <c r="B655" s="29" t="s">
        <v>11</v>
      </c>
      <c r="C655" s="29">
        <v>355</v>
      </c>
      <c r="D655" s="29">
        <v>3.6225352112676057</v>
      </c>
      <c r="E655" s="29">
        <v>42.25352112676056</v>
      </c>
      <c r="F655" s="29">
        <v>205</v>
      </c>
      <c r="G655" s="29">
        <v>57.74647887323944</v>
      </c>
    </row>
    <row r="656" spans="1:7" x14ac:dyDescent="0.3">
      <c r="A656" s="26">
        <v>42826</v>
      </c>
      <c r="B656" s="27" t="s">
        <v>12</v>
      </c>
      <c r="C656" s="27">
        <v>743</v>
      </c>
      <c r="D656" s="27">
        <v>3.4145356662180348</v>
      </c>
      <c r="E656" s="27">
        <v>45.625841184387617</v>
      </c>
      <c r="F656" s="27">
        <v>404</v>
      </c>
      <c r="G656" s="27">
        <v>54.374158815612383</v>
      </c>
    </row>
    <row r="657" spans="1:7" x14ac:dyDescent="0.3">
      <c r="A657" s="26">
        <v>42826</v>
      </c>
      <c r="B657" s="27" t="s">
        <v>13</v>
      </c>
      <c r="C657" s="27">
        <v>76</v>
      </c>
      <c r="D657" s="27">
        <v>3.2894736842105261</v>
      </c>
      <c r="E657" s="27">
        <v>48.684210526315788</v>
      </c>
      <c r="F657" s="27">
        <v>39</v>
      </c>
      <c r="G657" s="27">
        <v>51.315789473684212</v>
      </c>
    </row>
    <row r="658" spans="1:7" x14ac:dyDescent="0.3">
      <c r="A658" s="26">
        <v>42826</v>
      </c>
      <c r="B658" s="27" t="s">
        <v>14</v>
      </c>
      <c r="C658" s="27">
        <v>517</v>
      </c>
      <c r="D658" s="27">
        <v>3.6441005802707931</v>
      </c>
      <c r="E658" s="27">
        <v>45.454545454545453</v>
      </c>
      <c r="F658" s="27">
        <v>282</v>
      </c>
      <c r="G658" s="27">
        <v>54.54545454545454</v>
      </c>
    </row>
    <row r="659" spans="1:7" x14ac:dyDescent="0.3">
      <c r="A659" s="28">
        <v>42826</v>
      </c>
      <c r="B659" s="29" t="s">
        <v>15</v>
      </c>
      <c r="C659" s="29">
        <v>3</v>
      </c>
      <c r="D659" s="29">
        <v>3.3333333333333335</v>
      </c>
      <c r="E659" s="29">
        <v>33.333333333333329</v>
      </c>
      <c r="F659" s="29">
        <v>2</v>
      </c>
      <c r="G659" s="29">
        <v>66.666666666666657</v>
      </c>
    </row>
    <row r="660" spans="1:7" x14ac:dyDescent="0.3">
      <c r="A660" s="28">
        <v>42826</v>
      </c>
      <c r="B660" s="29" t="s">
        <v>16</v>
      </c>
      <c r="C660" s="29">
        <v>36</v>
      </c>
      <c r="D660" s="29">
        <v>3.5277777777777777</v>
      </c>
      <c r="E660" s="29">
        <v>36.111111111111107</v>
      </c>
      <c r="F660" s="29">
        <v>23</v>
      </c>
      <c r="G660" s="29">
        <v>63.888888888888886</v>
      </c>
    </row>
    <row r="661" spans="1:7" x14ac:dyDescent="0.3">
      <c r="A661" s="26">
        <v>42826</v>
      </c>
      <c r="B661" s="27" t="s">
        <v>17</v>
      </c>
      <c r="C661" s="27">
        <v>25</v>
      </c>
      <c r="D661" s="27">
        <v>3.28</v>
      </c>
      <c r="E661" s="27">
        <v>52</v>
      </c>
      <c r="F661" s="27">
        <v>12</v>
      </c>
      <c r="G661" s="27">
        <v>48</v>
      </c>
    </row>
    <row r="662" spans="1:7" x14ac:dyDescent="0.3">
      <c r="A662" s="28">
        <v>42826</v>
      </c>
      <c r="B662" s="29" t="s">
        <v>32</v>
      </c>
      <c r="C662" s="29">
        <v>4</v>
      </c>
      <c r="D662" s="29">
        <v>4</v>
      </c>
      <c r="E662" s="29">
        <v>25</v>
      </c>
      <c r="F662" s="29">
        <v>3</v>
      </c>
      <c r="G662" s="29">
        <v>75</v>
      </c>
    </row>
    <row r="663" spans="1:7" x14ac:dyDescent="0.3">
      <c r="A663" s="28">
        <v>42826</v>
      </c>
      <c r="B663" s="29" t="s">
        <v>18</v>
      </c>
      <c r="C663" s="29">
        <v>36</v>
      </c>
      <c r="D663" s="29">
        <v>3.8055555555555554</v>
      </c>
      <c r="E663" s="29">
        <v>44.444444444444443</v>
      </c>
      <c r="F663" s="29">
        <v>20</v>
      </c>
      <c r="G663" s="29">
        <v>55.555555555555557</v>
      </c>
    </row>
    <row r="664" spans="1:7" x14ac:dyDescent="0.3">
      <c r="A664" s="28">
        <v>42826</v>
      </c>
      <c r="B664" s="29" t="s">
        <v>19</v>
      </c>
      <c r="C664" s="29">
        <v>28</v>
      </c>
      <c r="D664" s="29">
        <v>3.3928571428571428</v>
      </c>
      <c r="E664" s="29">
        <v>39.285714285714285</v>
      </c>
      <c r="F664" s="29">
        <v>17</v>
      </c>
      <c r="G664" s="29">
        <v>60.714285714285708</v>
      </c>
    </row>
    <row r="665" spans="1:7" x14ac:dyDescent="0.3">
      <c r="A665" s="28">
        <v>42826</v>
      </c>
      <c r="B665" s="29" t="s">
        <v>20</v>
      </c>
      <c r="C665" s="29">
        <v>23</v>
      </c>
      <c r="D665" s="29">
        <v>4.0869565217391308</v>
      </c>
      <c r="E665" s="29">
        <v>39.130434782608695</v>
      </c>
      <c r="F665" s="29">
        <v>14</v>
      </c>
      <c r="G665" s="29">
        <v>60.869565217391312</v>
      </c>
    </row>
    <row r="666" spans="1:7" x14ac:dyDescent="0.3">
      <c r="A666" s="26">
        <v>42826</v>
      </c>
      <c r="B666" s="27" t="s">
        <v>21</v>
      </c>
      <c r="C666" s="27">
        <v>12</v>
      </c>
      <c r="D666" s="27">
        <v>1.8333333333333333</v>
      </c>
      <c r="E666" s="27">
        <v>75</v>
      </c>
      <c r="F666" s="27">
        <v>3</v>
      </c>
      <c r="G666" s="27">
        <v>25</v>
      </c>
    </row>
    <row r="667" spans="1:7" x14ac:dyDescent="0.3">
      <c r="A667" s="26">
        <v>42826</v>
      </c>
      <c r="B667" s="27" t="s">
        <v>22</v>
      </c>
      <c r="C667" s="27">
        <v>25</v>
      </c>
      <c r="D667" s="27">
        <v>3.32</v>
      </c>
      <c r="E667" s="27">
        <v>48</v>
      </c>
      <c r="F667" s="27">
        <v>13</v>
      </c>
      <c r="G667" s="27">
        <v>52</v>
      </c>
    </row>
    <row r="668" spans="1:7" x14ac:dyDescent="0.3">
      <c r="A668" s="26">
        <v>42826</v>
      </c>
      <c r="B668" s="27" t="s">
        <v>23</v>
      </c>
      <c r="C668" s="27">
        <v>615</v>
      </c>
      <c r="D668" s="27">
        <v>3.5560975609756098</v>
      </c>
      <c r="E668" s="27">
        <v>46.991869918699187</v>
      </c>
      <c r="F668" s="27">
        <v>326</v>
      </c>
      <c r="G668" s="27">
        <v>53.008130081300806</v>
      </c>
    </row>
    <row r="669" spans="1:7" x14ac:dyDescent="0.3">
      <c r="A669" s="26">
        <v>42826</v>
      </c>
      <c r="B669" s="27" t="s">
        <v>33</v>
      </c>
      <c r="C669" s="27">
        <v>17</v>
      </c>
      <c r="D669" s="27">
        <v>4.2941176470588234</v>
      </c>
      <c r="E669" s="27">
        <v>47.058823529411761</v>
      </c>
      <c r="F669" s="27">
        <v>9</v>
      </c>
      <c r="G669" s="27">
        <v>52.941176470588239</v>
      </c>
    </row>
    <row r="670" spans="1:7" x14ac:dyDescent="0.3">
      <c r="A670" s="28">
        <v>42826</v>
      </c>
      <c r="B670" s="29" t="s">
        <v>24</v>
      </c>
      <c r="C670" s="29">
        <v>12</v>
      </c>
      <c r="D670" s="29">
        <v>4.083333333333333</v>
      </c>
      <c r="E670" s="29">
        <v>41.666666666666671</v>
      </c>
      <c r="F670" s="29">
        <v>7</v>
      </c>
      <c r="G670" s="29">
        <v>58.333333333333336</v>
      </c>
    </row>
    <row r="671" spans="1:7" x14ac:dyDescent="0.3">
      <c r="A671" s="26">
        <v>42826</v>
      </c>
      <c r="B671" s="27" t="s">
        <v>25</v>
      </c>
      <c r="C671" s="27">
        <v>664</v>
      </c>
      <c r="D671" s="27">
        <v>3.5331325301204819</v>
      </c>
      <c r="E671" s="27">
        <v>46.385542168674696</v>
      </c>
      <c r="F671" s="27">
        <v>356</v>
      </c>
      <c r="G671" s="27">
        <v>53.614457831325304</v>
      </c>
    </row>
    <row r="672" spans="1:7" x14ac:dyDescent="0.3">
      <c r="A672" s="28">
        <v>42826</v>
      </c>
      <c r="B672" s="29" t="s">
        <v>34</v>
      </c>
      <c r="C672" s="29">
        <v>15</v>
      </c>
      <c r="D672" s="29">
        <v>3.6</v>
      </c>
      <c r="E672" s="29">
        <v>20</v>
      </c>
      <c r="F672" s="29">
        <v>12</v>
      </c>
      <c r="G672" s="29">
        <v>80</v>
      </c>
    </row>
    <row r="673" spans="1:7" x14ac:dyDescent="0.3">
      <c r="A673" s="26">
        <v>42826</v>
      </c>
      <c r="B673" s="27" t="s">
        <v>26</v>
      </c>
      <c r="C673" s="27">
        <v>345</v>
      </c>
      <c r="D673" s="27">
        <v>3.5304347826086957</v>
      </c>
      <c r="E673" s="27">
        <v>47.246376811594203</v>
      </c>
      <c r="F673" s="27">
        <v>182</v>
      </c>
      <c r="G673" s="27">
        <v>52.753623188405797</v>
      </c>
    </row>
    <row r="674" spans="1:7" x14ac:dyDescent="0.3">
      <c r="A674" s="26">
        <v>42826</v>
      </c>
      <c r="B674" s="27" t="s">
        <v>35</v>
      </c>
      <c r="C674" s="27">
        <v>6</v>
      </c>
      <c r="D674" s="27">
        <v>3.8333333333333335</v>
      </c>
      <c r="E674" s="27">
        <v>66.666666666666657</v>
      </c>
      <c r="F674" s="27">
        <v>2</v>
      </c>
      <c r="G674" s="27">
        <v>33.333333333333329</v>
      </c>
    </row>
    <row r="675" spans="1:7" x14ac:dyDescent="0.3">
      <c r="A675" s="26">
        <v>42826</v>
      </c>
      <c r="B675" s="27" t="s">
        <v>36</v>
      </c>
      <c r="C675" s="27">
        <v>4</v>
      </c>
      <c r="D675" s="27">
        <v>4.75</v>
      </c>
      <c r="E675" s="27">
        <v>50</v>
      </c>
      <c r="F675" s="27">
        <v>2</v>
      </c>
      <c r="G675" s="27">
        <v>50</v>
      </c>
    </row>
    <row r="676" spans="1:7" x14ac:dyDescent="0.3">
      <c r="A676" s="26">
        <v>42826</v>
      </c>
      <c r="B676" s="27" t="s">
        <v>27</v>
      </c>
      <c r="C676" s="27">
        <v>8</v>
      </c>
      <c r="D676" s="27">
        <v>3.25</v>
      </c>
      <c r="E676" s="27">
        <v>75</v>
      </c>
      <c r="F676" s="27">
        <v>2</v>
      </c>
      <c r="G676" s="27">
        <v>25</v>
      </c>
    </row>
    <row r="677" spans="1:7" x14ac:dyDescent="0.3">
      <c r="A677" s="28">
        <v>42826</v>
      </c>
      <c r="B677" s="29" t="s">
        <v>28</v>
      </c>
      <c r="C677" s="29">
        <v>34</v>
      </c>
      <c r="D677" s="29">
        <v>3.6176470588235294</v>
      </c>
      <c r="E677" s="29">
        <v>35.294117647058826</v>
      </c>
      <c r="F677" s="29">
        <v>22</v>
      </c>
      <c r="G677" s="29">
        <v>64.705882352941174</v>
      </c>
    </row>
    <row r="678" spans="1:7" x14ac:dyDescent="0.3">
      <c r="A678" s="26">
        <v>42826</v>
      </c>
      <c r="B678" s="27" t="s">
        <v>29</v>
      </c>
      <c r="C678" s="27">
        <v>481</v>
      </c>
      <c r="D678" s="27">
        <v>3.4365904365904365</v>
      </c>
      <c r="E678" s="27">
        <v>46.569646569646572</v>
      </c>
      <c r="F678" s="27">
        <v>257</v>
      </c>
      <c r="G678" s="27">
        <v>53.430353430353428</v>
      </c>
    </row>
    <row r="679" spans="1:7" x14ac:dyDescent="0.3">
      <c r="A679" s="28">
        <v>42826</v>
      </c>
      <c r="B679" s="29" t="s">
        <v>30</v>
      </c>
      <c r="C679" s="29">
        <v>593</v>
      </c>
      <c r="D679" s="29">
        <v>3.5025295109612142</v>
      </c>
      <c r="E679" s="29">
        <v>44.182124789207421</v>
      </c>
      <c r="F679" s="29">
        <v>331</v>
      </c>
      <c r="G679" s="29">
        <v>55.817875210792579</v>
      </c>
    </row>
    <row r="680" spans="1:7" x14ac:dyDescent="0.3">
      <c r="A680" s="28">
        <v>42826</v>
      </c>
      <c r="B680" s="29" t="s">
        <v>37</v>
      </c>
      <c r="C680" s="29">
        <v>13</v>
      </c>
      <c r="D680" s="29">
        <v>3.9230769230769229</v>
      </c>
      <c r="E680" s="29">
        <v>23.076923076923077</v>
      </c>
      <c r="F680" s="29">
        <v>10</v>
      </c>
      <c r="G680" s="29">
        <v>76.923076923076934</v>
      </c>
    </row>
    <row r="681" spans="1:7" x14ac:dyDescent="0.3">
      <c r="A681" s="28">
        <v>42856</v>
      </c>
      <c r="B681" s="29" t="s">
        <v>31</v>
      </c>
      <c r="C681" s="29">
        <v>18</v>
      </c>
      <c r="D681" s="29">
        <v>4.3888888888888893</v>
      </c>
      <c r="E681" s="29">
        <v>33.333333333333329</v>
      </c>
      <c r="F681" s="29">
        <v>12</v>
      </c>
      <c r="G681" s="29">
        <v>66.666666666666657</v>
      </c>
    </row>
    <row r="682" spans="1:7" x14ac:dyDescent="0.3">
      <c r="A682" s="28">
        <v>42856</v>
      </c>
      <c r="B682" s="29" t="s">
        <v>8</v>
      </c>
      <c r="C682" s="29">
        <v>15</v>
      </c>
      <c r="D682" s="29">
        <v>3.9333333333333331</v>
      </c>
      <c r="E682" s="29">
        <v>26.666666666666668</v>
      </c>
      <c r="F682" s="29">
        <v>11</v>
      </c>
      <c r="G682" s="29">
        <v>73.333333333333329</v>
      </c>
    </row>
    <row r="683" spans="1:7" x14ac:dyDescent="0.3">
      <c r="A683" s="26">
        <v>42856</v>
      </c>
      <c r="B683" s="27" t="s">
        <v>9</v>
      </c>
      <c r="C683" s="27">
        <v>21</v>
      </c>
      <c r="D683" s="27">
        <v>3.5714285714285716</v>
      </c>
      <c r="E683" s="27">
        <v>61.904761904761905</v>
      </c>
      <c r="F683" s="27">
        <v>8</v>
      </c>
      <c r="G683" s="27">
        <v>38.095238095238095</v>
      </c>
    </row>
    <row r="684" spans="1:7" x14ac:dyDescent="0.3">
      <c r="A684" s="26">
        <v>42856</v>
      </c>
      <c r="B684" s="27" t="s">
        <v>10</v>
      </c>
      <c r="C684" s="27">
        <v>451</v>
      </c>
      <c r="D684" s="27">
        <v>3.4412416851441243</v>
      </c>
      <c r="E684" s="27">
        <v>45.232815964523283</v>
      </c>
      <c r="F684" s="27">
        <v>247</v>
      </c>
      <c r="G684" s="27">
        <v>54.767184035476724</v>
      </c>
    </row>
    <row r="685" spans="1:7" x14ac:dyDescent="0.3">
      <c r="A685" s="26">
        <v>42856</v>
      </c>
      <c r="B685" s="27" t="s">
        <v>11</v>
      </c>
      <c r="C685" s="27">
        <v>360</v>
      </c>
      <c r="D685" s="27">
        <v>3.2416666666666667</v>
      </c>
      <c r="E685" s="27">
        <v>49.444444444444443</v>
      </c>
      <c r="F685" s="27">
        <v>182</v>
      </c>
      <c r="G685" s="27">
        <v>50.555555555555557</v>
      </c>
    </row>
    <row r="686" spans="1:7" x14ac:dyDescent="0.3">
      <c r="A686" s="26">
        <v>42856</v>
      </c>
      <c r="B686" s="27" t="s">
        <v>12</v>
      </c>
      <c r="C686" s="27">
        <v>733</v>
      </c>
      <c r="D686" s="27">
        <v>3.4174624829467941</v>
      </c>
      <c r="E686" s="27">
        <v>46.657571623465209</v>
      </c>
      <c r="F686" s="27">
        <v>391</v>
      </c>
      <c r="G686" s="27">
        <v>53.342428376534791</v>
      </c>
    </row>
    <row r="687" spans="1:7" x14ac:dyDescent="0.3">
      <c r="A687" s="28">
        <v>42856</v>
      </c>
      <c r="B687" s="29" t="s">
        <v>14</v>
      </c>
      <c r="C687" s="29">
        <v>534</v>
      </c>
      <c r="D687" s="29">
        <v>3.398876404494382</v>
      </c>
      <c r="E687" s="29">
        <v>44.382022471910112</v>
      </c>
      <c r="F687" s="29">
        <v>297</v>
      </c>
      <c r="G687" s="29">
        <v>55.617977528089888</v>
      </c>
    </row>
    <row r="688" spans="1:7" x14ac:dyDescent="0.3">
      <c r="A688" s="26">
        <v>42856</v>
      </c>
      <c r="B688" s="27" t="s">
        <v>17</v>
      </c>
      <c r="C688" s="27">
        <v>22</v>
      </c>
      <c r="D688" s="27">
        <v>3.4545454545454546</v>
      </c>
      <c r="E688" s="27">
        <v>50</v>
      </c>
      <c r="F688" s="27">
        <v>11</v>
      </c>
      <c r="G688" s="27">
        <v>50</v>
      </c>
    </row>
    <row r="689" spans="1:7" x14ac:dyDescent="0.3">
      <c r="A689" s="28">
        <v>42856</v>
      </c>
      <c r="B689" s="29" t="s">
        <v>32</v>
      </c>
      <c r="C689" s="29">
        <v>18</v>
      </c>
      <c r="D689" s="29">
        <v>3.2222222222222223</v>
      </c>
      <c r="E689" s="29">
        <v>27.777777777777779</v>
      </c>
      <c r="F689" s="29">
        <v>13</v>
      </c>
      <c r="G689" s="29">
        <v>72.222222222222214</v>
      </c>
    </row>
    <row r="690" spans="1:7" x14ac:dyDescent="0.3">
      <c r="A690" s="26">
        <v>42856</v>
      </c>
      <c r="B690" s="27" t="s">
        <v>19</v>
      </c>
      <c r="C690" s="27">
        <v>48</v>
      </c>
      <c r="D690" s="27">
        <v>3.3541666666666665</v>
      </c>
      <c r="E690" s="27">
        <v>52.083333333333336</v>
      </c>
      <c r="F690" s="27">
        <v>23</v>
      </c>
      <c r="G690" s="27">
        <v>47.916666666666671</v>
      </c>
    </row>
    <row r="691" spans="1:7" x14ac:dyDescent="0.3">
      <c r="A691" s="26">
        <v>42856</v>
      </c>
      <c r="B691" s="27" t="s">
        <v>20</v>
      </c>
      <c r="C691" s="27">
        <v>42</v>
      </c>
      <c r="D691" s="27">
        <v>3.1904761904761907</v>
      </c>
      <c r="E691" s="27">
        <v>54.761904761904766</v>
      </c>
      <c r="F691" s="27">
        <v>19</v>
      </c>
      <c r="G691" s="27">
        <v>45.238095238095241</v>
      </c>
    </row>
    <row r="692" spans="1:7" x14ac:dyDescent="0.3">
      <c r="A692" s="26">
        <v>42856</v>
      </c>
      <c r="B692" s="27" t="s">
        <v>22</v>
      </c>
      <c r="C692" s="27">
        <v>25</v>
      </c>
      <c r="D692" s="27">
        <v>3.2</v>
      </c>
      <c r="E692" s="27">
        <v>60</v>
      </c>
      <c r="F692" s="27">
        <v>10</v>
      </c>
      <c r="G692" s="27">
        <v>40</v>
      </c>
    </row>
    <row r="693" spans="1:7" x14ac:dyDescent="0.3">
      <c r="A693" s="28">
        <v>42856</v>
      </c>
      <c r="B693" s="29" t="s">
        <v>23</v>
      </c>
      <c r="C693" s="29">
        <v>589</v>
      </c>
      <c r="D693" s="29">
        <v>3.4889643463497455</v>
      </c>
      <c r="E693" s="29">
        <v>43.463497453310694</v>
      </c>
      <c r="F693" s="29">
        <v>333</v>
      </c>
      <c r="G693" s="29">
        <v>56.536502546689306</v>
      </c>
    </row>
    <row r="694" spans="1:7" x14ac:dyDescent="0.3">
      <c r="A694" s="28">
        <v>42856</v>
      </c>
      <c r="B694" s="29" t="s">
        <v>33</v>
      </c>
      <c r="C694" s="29">
        <v>66</v>
      </c>
      <c r="D694" s="29">
        <v>3.5151515151515151</v>
      </c>
      <c r="E694" s="29">
        <v>43.939393939393938</v>
      </c>
      <c r="F694" s="29">
        <v>37</v>
      </c>
      <c r="G694" s="29">
        <v>56.060606060606055</v>
      </c>
    </row>
    <row r="695" spans="1:7" x14ac:dyDescent="0.3">
      <c r="A695" s="28">
        <v>42856</v>
      </c>
      <c r="B695" s="29" t="s">
        <v>24</v>
      </c>
      <c r="C695" s="29">
        <v>18</v>
      </c>
      <c r="D695" s="29">
        <v>3.3888888888888888</v>
      </c>
      <c r="E695" s="29">
        <v>44.444444444444443</v>
      </c>
      <c r="F695" s="29">
        <v>10</v>
      </c>
      <c r="G695" s="29">
        <v>55.555555555555557</v>
      </c>
    </row>
    <row r="696" spans="1:7" x14ac:dyDescent="0.3">
      <c r="A696" s="28">
        <v>42856</v>
      </c>
      <c r="B696" s="29" t="s">
        <v>25</v>
      </c>
      <c r="C696" s="29">
        <v>740</v>
      </c>
      <c r="D696" s="29">
        <v>3.4148648648648647</v>
      </c>
      <c r="E696" s="29">
        <v>44.054054054054056</v>
      </c>
      <c r="F696" s="29">
        <v>414</v>
      </c>
      <c r="G696" s="29">
        <v>55.945945945945944</v>
      </c>
    </row>
    <row r="697" spans="1:7" x14ac:dyDescent="0.3">
      <c r="A697" s="28">
        <v>42856</v>
      </c>
      <c r="B697" s="29" t="s">
        <v>34</v>
      </c>
      <c r="C697" s="29">
        <v>68</v>
      </c>
      <c r="D697" s="29">
        <v>3.5735294117647061</v>
      </c>
      <c r="E697" s="29">
        <v>44.117647058823529</v>
      </c>
      <c r="F697" s="29">
        <v>38</v>
      </c>
      <c r="G697" s="29">
        <v>55.882352941176471</v>
      </c>
    </row>
    <row r="698" spans="1:7" x14ac:dyDescent="0.3">
      <c r="A698" s="26">
        <v>42856</v>
      </c>
      <c r="B698" s="27" t="s">
        <v>26</v>
      </c>
      <c r="C698" s="27">
        <v>347</v>
      </c>
      <c r="D698" s="27">
        <v>3.4755043227665707</v>
      </c>
      <c r="E698" s="27">
        <v>46.97406340057637</v>
      </c>
      <c r="F698" s="27">
        <v>184</v>
      </c>
      <c r="G698" s="27">
        <v>53.02593659942363</v>
      </c>
    </row>
    <row r="699" spans="1:7" x14ac:dyDescent="0.3">
      <c r="A699" s="26">
        <v>42856</v>
      </c>
      <c r="B699" s="27" t="s">
        <v>35</v>
      </c>
      <c r="C699" s="27">
        <v>35</v>
      </c>
      <c r="D699" s="27">
        <v>3.3142857142857145</v>
      </c>
      <c r="E699" s="27">
        <v>54.285714285714285</v>
      </c>
      <c r="F699" s="27">
        <v>16</v>
      </c>
      <c r="G699" s="27">
        <v>45.714285714285715</v>
      </c>
    </row>
    <row r="700" spans="1:7" x14ac:dyDescent="0.3">
      <c r="A700" s="28">
        <v>42856</v>
      </c>
      <c r="B700" s="29" t="s">
        <v>36</v>
      </c>
      <c r="C700" s="29">
        <v>7</v>
      </c>
      <c r="D700" s="29">
        <v>3.8571428571428572</v>
      </c>
      <c r="E700" s="29">
        <v>14.285714285714285</v>
      </c>
      <c r="F700" s="29">
        <v>6</v>
      </c>
      <c r="G700" s="29">
        <v>85.714285714285708</v>
      </c>
    </row>
    <row r="701" spans="1:7" x14ac:dyDescent="0.3">
      <c r="A701" s="26">
        <v>42856</v>
      </c>
      <c r="B701" s="27" t="s">
        <v>28</v>
      </c>
      <c r="C701" s="27">
        <v>18</v>
      </c>
      <c r="D701" s="27">
        <v>3.8333333333333335</v>
      </c>
      <c r="E701" s="27">
        <v>50</v>
      </c>
      <c r="F701" s="27">
        <v>9</v>
      </c>
      <c r="G701" s="27">
        <v>50</v>
      </c>
    </row>
    <row r="702" spans="1:7" x14ac:dyDescent="0.3">
      <c r="A702" s="26">
        <v>42856</v>
      </c>
      <c r="B702" s="27" t="s">
        <v>29</v>
      </c>
      <c r="C702" s="27">
        <v>485</v>
      </c>
      <c r="D702" s="27">
        <v>3.4453608247422682</v>
      </c>
      <c r="E702" s="27">
        <v>45.154639175257735</v>
      </c>
      <c r="F702" s="27">
        <v>266</v>
      </c>
      <c r="G702" s="27">
        <v>54.845360824742272</v>
      </c>
    </row>
    <row r="703" spans="1:7" x14ac:dyDescent="0.3">
      <c r="A703" s="26">
        <v>42856</v>
      </c>
      <c r="B703" s="27" t="s">
        <v>30</v>
      </c>
      <c r="C703" s="27">
        <v>617</v>
      </c>
      <c r="D703" s="27">
        <v>3.4489465153970826</v>
      </c>
      <c r="E703" s="27">
        <v>46.191247974068069</v>
      </c>
      <c r="F703" s="27">
        <v>332</v>
      </c>
      <c r="G703" s="27">
        <v>53.808752025931931</v>
      </c>
    </row>
    <row r="704" spans="1:7" x14ac:dyDescent="0.3">
      <c r="A704" s="30">
        <v>42856</v>
      </c>
      <c r="B704" s="31" t="s">
        <v>37</v>
      </c>
      <c r="C704" s="31">
        <v>40</v>
      </c>
      <c r="D704" s="31">
        <v>3.8250000000000002</v>
      </c>
      <c r="E704" s="31">
        <v>45</v>
      </c>
      <c r="F704" s="31">
        <v>22</v>
      </c>
      <c r="G704" s="31">
        <v>55.000000000000007</v>
      </c>
    </row>
    <row r="705" spans="1:7" x14ac:dyDescent="0.3">
      <c r="A705" s="28">
        <v>42887</v>
      </c>
      <c r="B705" s="29" t="s">
        <v>31</v>
      </c>
      <c r="C705" s="29">
        <v>10</v>
      </c>
      <c r="D705" s="29">
        <v>2.9</v>
      </c>
      <c r="E705" s="29">
        <v>40</v>
      </c>
      <c r="F705" s="29">
        <v>6</v>
      </c>
      <c r="G705" s="29">
        <v>60</v>
      </c>
    </row>
    <row r="706" spans="1:7" x14ac:dyDescent="0.3">
      <c r="A706" s="26">
        <v>42887</v>
      </c>
      <c r="B706" s="27" t="s">
        <v>8</v>
      </c>
      <c r="C706" s="27">
        <v>12</v>
      </c>
      <c r="D706" s="27">
        <v>3.4166666666666665</v>
      </c>
      <c r="E706" s="27">
        <v>50</v>
      </c>
      <c r="F706" s="27">
        <v>6</v>
      </c>
      <c r="G706" s="27">
        <v>50</v>
      </c>
    </row>
    <row r="707" spans="1:7" x14ac:dyDescent="0.3">
      <c r="A707" s="26">
        <v>42887</v>
      </c>
      <c r="B707" s="27" t="s">
        <v>9</v>
      </c>
      <c r="C707" s="27">
        <v>32</v>
      </c>
      <c r="D707" s="27">
        <v>2.96875</v>
      </c>
      <c r="E707" s="27">
        <v>50</v>
      </c>
      <c r="F707" s="27">
        <v>16</v>
      </c>
      <c r="G707" s="27">
        <v>50</v>
      </c>
    </row>
    <row r="708" spans="1:7" x14ac:dyDescent="0.3">
      <c r="A708" s="26">
        <v>42887</v>
      </c>
      <c r="B708" s="27" t="s">
        <v>10</v>
      </c>
      <c r="C708" s="27">
        <v>410</v>
      </c>
      <c r="D708" s="27">
        <v>3.5487804878048781</v>
      </c>
      <c r="E708" s="27">
        <v>45.365853658536587</v>
      </c>
      <c r="F708" s="27">
        <v>224</v>
      </c>
      <c r="G708" s="27">
        <v>54.634146341463421</v>
      </c>
    </row>
    <row r="709" spans="1:7" x14ac:dyDescent="0.3">
      <c r="A709" s="26">
        <v>42887</v>
      </c>
      <c r="B709" s="27" t="s">
        <v>11</v>
      </c>
      <c r="C709" s="27">
        <v>325</v>
      </c>
      <c r="D709" s="27">
        <v>3.3876923076923076</v>
      </c>
      <c r="E709" s="27">
        <v>48.923076923076927</v>
      </c>
      <c r="F709" s="27">
        <v>166</v>
      </c>
      <c r="G709" s="27">
        <v>51.076923076923073</v>
      </c>
    </row>
    <row r="710" spans="1:7" x14ac:dyDescent="0.3">
      <c r="A710" s="28">
        <v>42887</v>
      </c>
      <c r="B710" s="29" t="s">
        <v>12</v>
      </c>
      <c r="C710" s="29">
        <v>653</v>
      </c>
      <c r="D710" s="29">
        <v>3.581929555895865</v>
      </c>
      <c r="E710" s="29">
        <v>43.49157733537519</v>
      </c>
      <c r="F710" s="29">
        <v>369</v>
      </c>
      <c r="G710" s="29">
        <v>56.508422664624817</v>
      </c>
    </row>
    <row r="711" spans="1:7" x14ac:dyDescent="0.3">
      <c r="A711" s="28">
        <v>42887</v>
      </c>
      <c r="B711" s="29" t="s">
        <v>14</v>
      </c>
      <c r="C711" s="29">
        <v>524</v>
      </c>
      <c r="D711" s="29">
        <v>3.5591603053435112</v>
      </c>
      <c r="E711" s="29">
        <v>42.938931297709928</v>
      </c>
      <c r="F711" s="29">
        <v>299</v>
      </c>
      <c r="G711" s="29">
        <v>57.061068702290072</v>
      </c>
    </row>
    <row r="712" spans="1:7" x14ac:dyDescent="0.3">
      <c r="A712" s="26">
        <v>42887</v>
      </c>
      <c r="B712" s="27" t="s">
        <v>17</v>
      </c>
      <c r="C712" s="27">
        <v>30</v>
      </c>
      <c r="D712" s="27">
        <v>3.3</v>
      </c>
      <c r="E712" s="27">
        <v>50</v>
      </c>
      <c r="F712" s="27">
        <v>15</v>
      </c>
      <c r="G712" s="27">
        <v>50</v>
      </c>
    </row>
    <row r="713" spans="1:7" x14ac:dyDescent="0.3">
      <c r="A713" s="28">
        <v>42887</v>
      </c>
      <c r="B713" s="29" t="s">
        <v>32</v>
      </c>
      <c r="C713" s="29">
        <v>11</v>
      </c>
      <c r="D713" s="29">
        <v>3.2727272727272729</v>
      </c>
      <c r="E713" s="29">
        <v>18.181818181818183</v>
      </c>
      <c r="F713" s="29">
        <v>9</v>
      </c>
      <c r="G713" s="29">
        <v>81.818181818181827</v>
      </c>
    </row>
    <row r="714" spans="1:7" x14ac:dyDescent="0.3">
      <c r="A714" s="26">
        <v>42887</v>
      </c>
      <c r="B714" s="27" t="s">
        <v>19</v>
      </c>
      <c r="C714" s="27">
        <v>45</v>
      </c>
      <c r="D714" s="27">
        <v>3.0222222222222221</v>
      </c>
      <c r="E714" s="27">
        <v>46.666666666666664</v>
      </c>
      <c r="F714" s="27">
        <v>24</v>
      </c>
      <c r="G714" s="27">
        <v>53.333333333333336</v>
      </c>
    </row>
    <row r="715" spans="1:7" x14ac:dyDescent="0.3">
      <c r="A715" s="26">
        <v>42887</v>
      </c>
      <c r="B715" s="27" t="s">
        <v>20</v>
      </c>
      <c r="C715" s="27">
        <v>56</v>
      </c>
      <c r="D715" s="27">
        <v>3.2142857142857144</v>
      </c>
      <c r="E715" s="27">
        <v>48.214285714285715</v>
      </c>
      <c r="F715" s="27">
        <v>29</v>
      </c>
      <c r="G715" s="27">
        <v>51.785714285714292</v>
      </c>
    </row>
    <row r="716" spans="1:7" x14ac:dyDescent="0.3">
      <c r="A716" s="26">
        <v>42887</v>
      </c>
      <c r="B716" s="27" t="s">
        <v>22</v>
      </c>
      <c r="C716" s="27">
        <v>18</v>
      </c>
      <c r="D716" s="27">
        <v>3.3888888888888888</v>
      </c>
      <c r="E716" s="27">
        <v>55.555555555555557</v>
      </c>
      <c r="F716" s="27">
        <v>8</v>
      </c>
      <c r="G716" s="27">
        <v>44.444444444444443</v>
      </c>
    </row>
    <row r="717" spans="1:7" x14ac:dyDescent="0.3">
      <c r="A717" s="28">
        <v>42887</v>
      </c>
      <c r="B717" s="29" t="s">
        <v>23</v>
      </c>
      <c r="C717" s="29">
        <v>526</v>
      </c>
      <c r="D717" s="29">
        <v>3.6368821292775664</v>
      </c>
      <c r="E717" s="29">
        <v>43.155893536121674</v>
      </c>
      <c r="F717" s="29">
        <v>299</v>
      </c>
      <c r="G717" s="29">
        <v>56.844106463878333</v>
      </c>
    </row>
    <row r="718" spans="1:7" x14ac:dyDescent="0.3">
      <c r="A718" s="26">
        <v>42887</v>
      </c>
      <c r="B718" s="27" t="s">
        <v>33</v>
      </c>
      <c r="C718" s="27">
        <v>59</v>
      </c>
      <c r="D718" s="27">
        <v>3.2881355932203391</v>
      </c>
      <c r="E718" s="27">
        <v>62.711864406779661</v>
      </c>
      <c r="F718" s="27">
        <v>22</v>
      </c>
      <c r="G718" s="27">
        <v>37.288135593220339</v>
      </c>
    </row>
    <row r="719" spans="1:7" x14ac:dyDescent="0.3">
      <c r="A719" s="28">
        <v>42887</v>
      </c>
      <c r="B719" s="29" t="s">
        <v>24</v>
      </c>
      <c r="C719" s="29">
        <v>12</v>
      </c>
      <c r="D719" s="29">
        <v>3.5</v>
      </c>
      <c r="E719" s="29">
        <v>41.666666666666671</v>
      </c>
      <c r="F719" s="29">
        <v>7</v>
      </c>
      <c r="G719" s="29">
        <v>58.333333333333336</v>
      </c>
    </row>
    <row r="720" spans="1:7" x14ac:dyDescent="0.3">
      <c r="A720" s="26">
        <v>42887</v>
      </c>
      <c r="B720" s="27" t="s">
        <v>25</v>
      </c>
      <c r="C720" s="27">
        <v>675</v>
      </c>
      <c r="D720" s="27">
        <v>3.4637037037037035</v>
      </c>
      <c r="E720" s="27">
        <v>48.592592592592595</v>
      </c>
      <c r="F720" s="27">
        <v>347</v>
      </c>
      <c r="G720" s="27">
        <v>51.407407407407412</v>
      </c>
    </row>
    <row r="721" spans="1:7" x14ac:dyDescent="0.3">
      <c r="A721" s="26">
        <v>42887</v>
      </c>
      <c r="B721" s="27" t="s">
        <v>34</v>
      </c>
      <c r="C721" s="27">
        <v>59</v>
      </c>
      <c r="D721" s="27">
        <v>2.9661016949152543</v>
      </c>
      <c r="E721" s="27">
        <v>69.491525423728817</v>
      </c>
      <c r="F721" s="27">
        <v>18</v>
      </c>
      <c r="G721" s="27">
        <v>30.508474576271187</v>
      </c>
    </row>
    <row r="722" spans="1:7" x14ac:dyDescent="0.3">
      <c r="A722" s="26">
        <v>42887</v>
      </c>
      <c r="B722" s="27" t="s">
        <v>26</v>
      </c>
      <c r="C722" s="27">
        <v>319</v>
      </c>
      <c r="D722" s="27">
        <v>3.4482758620689653</v>
      </c>
      <c r="E722" s="27">
        <v>48.275862068965516</v>
      </c>
      <c r="F722" s="27">
        <v>165</v>
      </c>
      <c r="G722" s="27">
        <v>51.724137931034484</v>
      </c>
    </row>
    <row r="723" spans="1:7" x14ac:dyDescent="0.3">
      <c r="A723" s="26">
        <v>42887</v>
      </c>
      <c r="B723" s="27" t="s">
        <v>35</v>
      </c>
      <c r="C723" s="27">
        <v>30</v>
      </c>
      <c r="D723" s="27">
        <v>4.0333333333333332</v>
      </c>
      <c r="E723" s="27">
        <v>46.666666666666664</v>
      </c>
      <c r="F723" s="27">
        <v>16</v>
      </c>
      <c r="G723" s="27">
        <v>53.333333333333336</v>
      </c>
    </row>
    <row r="724" spans="1:7" x14ac:dyDescent="0.3">
      <c r="A724" s="26">
        <v>42887</v>
      </c>
      <c r="B724" s="27" t="s">
        <v>36</v>
      </c>
      <c r="C724" s="27">
        <v>13</v>
      </c>
      <c r="D724" s="27">
        <v>3.3846153846153846</v>
      </c>
      <c r="E724" s="27">
        <v>61.53846153846154</v>
      </c>
      <c r="F724" s="27">
        <v>5</v>
      </c>
      <c r="G724" s="27">
        <v>38.461538461538467</v>
      </c>
    </row>
    <row r="725" spans="1:7" x14ac:dyDescent="0.3">
      <c r="A725" s="28">
        <v>42887</v>
      </c>
      <c r="B725" s="29" t="s">
        <v>28</v>
      </c>
      <c r="C725" s="29">
        <v>9</v>
      </c>
      <c r="D725" s="29">
        <v>3.3333333333333335</v>
      </c>
      <c r="E725" s="29">
        <v>44.444444444444443</v>
      </c>
      <c r="F725" s="29">
        <v>5</v>
      </c>
      <c r="G725" s="29">
        <v>55.555555555555557</v>
      </c>
    </row>
    <row r="726" spans="1:7" x14ac:dyDescent="0.3">
      <c r="A726" s="26">
        <v>42887</v>
      </c>
      <c r="B726" s="27" t="s">
        <v>29</v>
      </c>
      <c r="C726" s="27">
        <v>461</v>
      </c>
      <c r="D726" s="27">
        <v>3.4229934924078091</v>
      </c>
      <c r="E726" s="27">
        <v>50.325379609544477</v>
      </c>
      <c r="F726" s="27">
        <v>229</v>
      </c>
      <c r="G726" s="27">
        <v>49.67462039045553</v>
      </c>
    </row>
    <row r="727" spans="1:7" x14ac:dyDescent="0.3">
      <c r="A727" s="26">
        <v>42887</v>
      </c>
      <c r="B727" s="27" t="s">
        <v>30</v>
      </c>
      <c r="C727" s="27">
        <v>628</v>
      </c>
      <c r="D727" s="27">
        <v>3.468152866242038</v>
      </c>
      <c r="E727" s="27">
        <v>45.382165605095544</v>
      </c>
      <c r="F727" s="27">
        <v>343</v>
      </c>
      <c r="G727" s="27">
        <v>54.617834394904463</v>
      </c>
    </row>
    <row r="728" spans="1:7" x14ac:dyDescent="0.3">
      <c r="A728" s="28">
        <v>42887</v>
      </c>
      <c r="B728" s="29" t="s">
        <v>37</v>
      </c>
      <c r="C728" s="29">
        <v>34</v>
      </c>
      <c r="D728" s="29">
        <v>3.5588235294117645</v>
      </c>
      <c r="E728" s="29">
        <v>38.235294117647058</v>
      </c>
      <c r="F728" s="29">
        <v>21</v>
      </c>
      <c r="G728" s="29">
        <v>61.764705882352942</v>
      </c>
    </row>
    <row r="729" spans="1:7" x14ac:dyDescent="0.3">
      <c r="A729" s="26">
        <v>42917</v>
      </c>
      <c r="B729" s="27" t="s">
        <v>31</v>
      </c>
      <c r="C729" s="27">
        <v>19</v>
      </c>
      <c r="D729" s="27">
        <v>3.2105263157894739</v>
      </c>
      <c r="E729" s="27">
        <v>52.631578947368418</v>
      </c>
      <c r="F729" s="27">
        <v>9</v>
      </c>
      <c r="G729" s="27">
        <v>47.368421052631575</v>
      </c>
    </row>
    <row r="730" spans="1:7" x14ac:dyDescent="0.3">
      <c r="A730" s="28">
        <v>42917</v>
      </c>
      <c r="B730" s="29" t="s">
        <v>8</v>
      </c>
      <c r="C730" s="29">
        <v>14</v>
      </c>
      <c r="D730" s="29">
        <v>3.2857142857142856</v>
      </c>
      <c r="E730" s="29">
        <v>42.857142857142854</v>
      </c>
      <c r="F730" s="29">
        <v>8</v>
      </c>
      <c r="G730" s="29">
        <v>57.142857142857139</v>
      </c>
    </row>
    <row r="731" spans="1:7" x14ac:dyDescent="0.3">
      <c r="A731" s="26">
        <v>42917</v>
      </c>
      <c r="B731" s="27" t="s">
        <v>9</v>
      </c>
      <c r="C731" s="27">
        <v>30</v>
      </c>
      <c r="D731" s="27">
        <v>3.4333333333333331</v>
      </c>
      <c r="E731" s="27">
        <v>63.333333333333329</v>
      </c>
      <c r="F731" s="27">
        <v>11</v>
      </c>
      <c r="G731" s="27">
        <v>36.666666666666664</v>
      </c>
    </row>
    <row r="732" spans="1:7" x14ac:dyDescent="0.3">
      <c r="A732" s="26">
        <v>42917</v>
      </c>
      <c r="B732" s="27" t="s">
        <v>10</v>
      </c>
      <c r="C732" s="27">
        <v>431</v>
      </c>
      <c r="D732" s="27">
        <v>3.4524361948955917</v>
      </c>
      <c r="E732" s="27">
        <v>46.635730858468676</v>
      </c>
      <c r="F732" s="27">
        <v>230</v>
      </c>
      <c r="G732" s="27">
        <v>53.364269141531317</v>
      </c>
    </row>
    <row r="733" spans="1:7" x14ac:dyDescent="0.3">
      <c r="A733" s="28">
        <v>42917</v>
      </c>
      <c r="B733" s="29" t="s">
        <v>11</v>
      </c>
      <c r="C733" s="29">
        <v>390</v>
      </c>
      <c r="D733" s="29">
        <v>3.4923076923076923</v>
      </c>
      <c r="E733" s="29">
        <v>44.61538461538462</v>
      </c>
      <c r="F733" s="29">
        <v>216</v>
      </c>
      <c r="G733" s="29">
        <v>55.384615384615387</v>
      </c>
    </row>
    <row r="734" spans="1:7" x14ac:dyDescent="0.3">
      <c r="A734" s="28">
        <v>42917</v>
      </c>
      <c r="B734" s="29" t="s">
        <v>12</v>
      </c>
      <c r="C734" s="29">
        <v>783</v>
      </c>
      <c r="D734" s="29">
        <v>3.450830140485313</v>
      </c>
      <c r="E734" s="29">
        <v>44.444444444444443</v>
      </c>
      <c r="F734" s="29">
        <v>435</v>
      </c>
      <c r="G734" s="29">
        <v>55.555555555555557</v>
      </c>
    </row>
    <row r="735" spans="1:7" x14ac:dyDescent="0.3">
      <c r="A735" s="26">
        <v>42917</v>
      </c>
      <c r="B735" s="27" t="s">
        <v>14</v>
      </c>
      <c r="C735" s="27">
        <v>545</v>
      </c>
      <c r="D735" s="27">
        <v>3.381651376146789</v>
      </c>
      <c r="E735" s="27">
        <v>48.073394495412849</v>
      </c>
      <c r="F735" s="27">
        <v>283</v>
      </c>
      <c r="G735" s="27">
        <v>51.926605504587151</v>
      </c>
    </row>
    <row r="736" spans="1:7" x14ac:dyDescent="0.3">
      <c r="A736" s="26">
        <v>42917</v>
      </c>
      <c r="B736" s="27" t="s">
        <v>17</v>
      </c>
      <c r="C736" s="27">
        <v>26</v>
      </c>
      <c r="D736" s="27">
        <v>3.0769230769230771</v>
      </c>
      <c r="E736" s="27">
        <v>50</v>
      </c>
      <c r="F736" s="27">
        <v>13</v>
      </c>
      <c r="G736" s="27">
        <v>50</v>
      </c>
    </row>
    <row r="737" spans="1:7" x14ac:dyDescent="0.3">
      <c r="A737" s="28">
        <v>42917</v>
      </c>
      <c r="B737" s="29" t="s">
        <v>32</v>
      </c>
      <c r="C737" s="29">
        <v>12</v>
      </c>
      <c r="D737" s="29">
        <v>3.5</v>
      </c>
      <c r="E737" s="29">
        <v>41.666666666666671</v>
      </c>
      <c r="F737" s="29">
        <v>7</v>
      </c>
      <c r="G737" s="29">
        <v>58.333333333333336</v>
      </c>
    </row>
    <row r="738" spans="1:7" x14ac:dyDescent="0.3">
      <c r="A738" s="28">
        <v>42917</v>
      </c>
      <c r="B738" s="29" t="s">
        <v>19</v>
      </c>
      <c r="C738" s="29">
        <v>31</v>
      </c>
      <c r="D738" s="29">
        <v>4</v>
      </c>
      <c r="E738" s="29">
        <v>25.806451612903224</v>
      </c>
      <c r="F738" s="29">
        <v>23</v>
      </c>
      <c r="G738" s="29">
        <v>74.193548387096769</v>
      </c>
    </row>
    <row r="739" spans="1:7" x14ac:dyDescent="0.3">
      <c r="A739" s="26">
        <v>42917</v>
      </c>
      <c r="B739" s="27" t="s">
        <v>20</v>
      </c>
      <c r="C739" s="27">
        <v>46</v>
      </c>
      <c r="D739" s="27">
        <v>3.3043478260869565</v>
      </c>
      <c r="E739" s="27">
        <v>47.826086956521742</v>
      </c>
      <c r="F739" s="27">
        <v>24</v>
      </c>
      <c r="G739" s="27">
        <v>52.173913043478258</v>
      </c>
    </row>
    <row r="740" spans="1:7" x14ac:dyDescent="0.3">
      <c r="A740" s="26">
        <v>42917</v>
      </c>
      <c r="B740" s="27" t="s">
        <v>22</v>
      </c>
      <c r="C740" s="27">
        <v>27</v>
      </c>
      <c r="D740" s="27">
        <v>3.6296296296296298</v>
      </c>
      <c r="E740" s="27">
        <v>55.555555555555557</v>
      </c>
      <c r="F740" s="27">
        <v>12</v>
      </c>
      <c r="G740" s="27">
        <v>44.444444444444443</v>
      </c>
    </row>
    <row r="741" spans="1:7" x14ac:dyDescent="0.3">
      <c r="A741" s="28">
        <v>42917</v>
      </c>
      <c r="B741" s="29" t="s">
        <v>23</v>
      </c>
      <c r="C741" s="29">
        <v>563</v>
      </c>
      <c r="D741" s="29">
        <v>3.3960923623445827</v>
      </c>
      <c r="E741" s="29">
        <v>44.760213143872114</v>
      </c>
      <c r="F741" s="29">
        <v>311</v>
      </c>
      <c r="G741" s="29">
        <v>55.239786856127878</v>
      </c>
    </row>
    <row r="742" spans="1:7" x14ac:dyDescent="0.3">
      <c r="A742" s="28">
        <v>42917</v>
      </c>
      <c r="B742" s="29" t="s">
        <v>33</v>
      </c>
      <c r="C742" s="29">
        <v>65</v>
      </c>
      <c r="D742" s="29">
        <v>3.9076923076923076</v>
      </c>
      <c r="E742" s="29">
        <v>38.461538461538467</v>
      </c>
      <c r="F742" s="29">
        <v>40</v>
      </c>
      <c r="G742" s="29">
        <v>61.53846153846154</v>
      </c>
    </row>
    <row r="743" spans="1:7" x14ac:dyDescent="0.3">
      <c r="A743" s="28">
        <v>42917</v>
      </c>
      <c r="B743" s="29" t="s">
        <v>24</v>
      </c>
      <c r="C743" s="29">
        <v>13</v>
      </c>
      <c r="D743" s="29">
        <v>3.7692307692307692</v>
      </c>
      <c r="E743" s="29">
        <v>38.461538461538467</v>
      </c>
      <c r="F743" s="29">
        <v>8</v>
      </c>
      <c r="G743" s="29">
        <v>61.53846153846154</v>
      </c>
    </row>
    <row r="744" spans="1:7" x14ac:dyDescent="0.3">
      <c r="A744" s="28">
        <v>42917</v>
      </c>
      <c r="B744" s="29" t="s">
        <v>25</v>
      </c>
      <c r="C744" s="29">
        <v>707</v>
      </c>
      <c r="D744" s="29">
        <v>3.4936350777934937</v>
      </c>
      <c r="E744" s="29">
        <v>43.422913719943423</v>
      </c>
      <c r="F744" s="29">
        <v>400</v>
      </c>
      <c r="G744" s="29">
        <v>56.577086280056577</v>
      </c>
    </row>
    <row r="745" spans="1:7" x14ac:dyDescent="0.3">
      <c r="A745" s="26">
        <v>42917</v>
      </c>
      <c r="B745" s="27" t="s">
        <v>34</v>
      </c>
      <c r="C745" s="27">
        <v>62</v>
      </c>
      <c r="D745" s="27">
        <v>3.3548387096774195</v>
      </c>
      <c r="E745" s="27">
        <v>61.29032258064516</v>
      </c>
      <c r="F745" s="27">
        <v>24</v>
      </c>
      <c r="G745" s="27">
        <v>38.70967741935484</v>
      </c>
    </row>
    <row r="746" spans="1:7" x14ac:dyDescent="0.3">
      <c r="A746" s="28">
        <v>42917</v>
      </c>
      <c r="B746" s="29" t="s">
        <v>26</v>
      </c>
      <c r="C746" s="29">
        <v>352</v>
      </c>
      <c r="D746" s="29">
        <v>3.2954545454545454</v>
      </c>
      <c r="E746" s="29">
        <v>42.613636363636367</v>
      </c>
      <c r="F746" s="29">
        <v>202</v>
      </c>
      <c r="G746" s="29">
        <v>57.386363636363633</v>
      </c>
    </row>
    <row r="747" spans="1:7" x14ac:dyDescent="0.3">
      <c r="A747" s="28">
        <v>42917</v>
      </c>
      <c r="B747" s="29" t="s">
        <v>35</v>
      </c>
      <c r="C747" s="29">
        <v>31</v>
      </c>
      <c r="D747" s="29">
        <v>3.838709677419355</v>
      </c>
      <c r="E747" s="29">
        <v>38.70967741935484</v>
      </c>
      <c r="F747" s="29">
        <v>19</v>
      </c>
      <c r="G747" s="29">
        <v>61.29032258064516</v>
      </c>
    </row>
    <row r="748" spans="1:7" x14ac:dyDescent="0.3">
      <c r="A748" s="26">
        <v>42917</v>
      </c>
      <c r="B748" s="27" t="s">
        <v>36</v>
      </c>
      <c r="C748" s="27">
        <v>14</v>
      </c>
      <c r="D748" s="27">
        <v>3.5714285714285716</v>
      </c>
      <c r="E748" s="27">
        <v>50</v>
      </c>
      <c r="F748" s="27">
        <v>7</v>
      </c>
      <c r="G748" s="27">
        <v>50</v>
      </c>
    </row>
    <row r="749" spans="1:7" x14ac:dyDescent="0.3">
      <c r="A749" s="28">
        <v>42917</v>
      </c>
      <c r="B749" s="29" t="s">
        <v>28</v>
      </c>
      <c r="C749" s="29">
        <v>15</v>
      </c>
      <c r="D749" s="29">
        <v>3.4666666666666668</v>
      </c>
      <c r="E749" s="29">
        <v>26.666666666666668</v>
      </c>
      <c r="F749" s="29">
        <v>11</v>
      </c>
      <c r="G749" s="29">
        <v>73.333333333333329</v>
      </c>
    </row>
    <row r="750" spans="1:7" x14ac:dyDescent="0.3">
      <c r="A750" s="26">
        <v>42917</v>
      </c>
      <c r="B750" s="27" t="s">
        <v>29</v>
      </c>
      <c r="C750" s="27">
        <v>471</v>
      </c>
      <c r="D750" s="27">
        <v>3.4076433121019107</v>
      </c>
      <c r="E750" s="27">
        <v>48.195329087048833</v>
      </c>
      <c r="F750" s="27">
        <v>244</v>
      </c>
      <c r="G750" s="27">
        <v>51.804670912951167</v>
      </c>
    </row>
    <row r="751" spans="1:7" x14ac:dyDescent="0.3">
      <c r="A751" s="26">
        <v>42917</v>
      </c>
      <c r="B751" s="27" t="s">
        <v>30</v>
      </c>
      <c r="C751" s="27">
        <v>631</v>
      </c>
      <c r="D751" s="27">
        <v>3.2852614896988905</v>
      </c>
      <c r="E751" s="27">
        <v>47.702060221870049</v>
      </c>
      <c r="F751" s="27">
        <v>330</v>
      </c>
      <c r="G751" s="27">
        <v>52.297939778129951</v>
      </c>
    </row>
    <row r="752" spans="1:7" x14ac:dyDescent="0.3">
      <c r="A752" s="26">
        <v>42917</v>
      </c>
      <c r="B752" s="27" t="s">
        <v>37</v>
      </c>
      <c r="C752" s="27">
        <v>40</v>
      </c>
      <c r="D752" s="27">
        <v>3.2</v>
      </c>
      <c r="E752" s="27">
        <v>52.5</v>
      </c>
      <c r="F752" s="27">
        <v>19</v>
      </c>
      <c r="G752" s="27">
        <v>47.5</v>
      </c>
    </row>
    <row r="753" spans="1:7" x14ac:dyDescent="0.3">
      <c r="A753" s="28">
        <v>42948</v>
      </c>
      <c r="B753" s="29" t="s">
        <v>31</v>
      </c>
      <c r="C753" s="29">
        <v>15</v>
      </c>
      <c r="D753" s="29">
        <v>3.6</v>
      </c>
      <c r="E753" s="29">
        <v>33.333333333333329</v>
      </c>
      <c r="F753" s="29">
        <v>10</v>
      </c>
      <c r="G753" s="29">
        <v>66.666666666666657</v>
      </c>
    </row>
    <row r="754" spans="1:7" x14ac:dyDescent="0.3">
      <c r="A754" s="28">
        <v>42948</v>
      </c>
      <c r="B754" s="29" t="s">
        <v>8</v>
      </c>
      <c r="C754" s="29">
        <v>14</v>
      </c>
      <c r="D754" s="29">
        <v>3.0714285714285716</v>
      </c>
      <c r="E754" s="29">
        <v>42.857142857142854</v>
      </c>
      <c r="F754" s="29">
        <v>8</v>
      </c>
      <c r="G754" s="29">
        <v>57.142857142857139</v>
      </c>
    </row>
    <row r="755" spans="1:7" x14ac:dyDescent="0.3">
      <c r="A755" s="28">
        <v>42948</v>
      </c>
      <c r="B755" s="29" t="s">
        <v>9</v>
      </c>
      <c r="C755" s="29">
        <v>33</v>
      </c>
      <c r="D755" s="29">
        <v>3.8787878787878789</v>
      </c>
      <c r="E755" s="29">
        <v>33.333333333333329</v>
      </c>
      <c r="F755" s="29">
        <v>22</v>
      </c>
      <c r="G755" s="29">
        <v>66.666666666666657</v>
      </c>
    </row>
    <row r="756" spans="1:7" x14ac:dyDescent="0.3">
      <c r="A756" s="28">
        <v>42948</v>
      </c>
      <c r="B756" s="29" t="s">
        <v>10</v>
      </c>
      <c r="C756" s="29">
        <v>391</v>
      </c>
      <c r="D756" s="29">
        <v>3.5319693094629154</v>
      </c>
      <c r="E756" s="29">
        <v>42.966751918158572</v>
      </c>
      <c r="F756" s="29">
        <v>223</v>
      </c>
      <c r="G756" s="29">
        <v>57.033248081841435</v>
      </c>
    </row>
    <row r="757" spans="1:7" x14ac:dyDescent="0.3">
      <c r="A757" s="26">
        <v>42948</v>
      </c>
      <c r="B757" s="27" t="s">
        <v>11</v>
      </c>
      <c r="C757" s="27">
        <v>377</v>
      </c>
      <c r="D757" s="27">
        <v>3.4588859416445623</v>
      </c>
      <c r="E757" s="27">
        <v>46.419098143236077</v>
      </c>
      <c r="F757" s="27">
        <v>202</v>
      </c>
      <c r="G757" s="27">
        <v>53.58090185676393</v>
      </c>
    </row>
    <row r="758" spans="1:7" x14ac:dyDescent="0.3">
      <c r="A758" s="28">
        <v>42948</v>
      </c>
      <c r="B758" s="29" t="s">
        <v>12</v>
      </c>
      <c r="C758" s="29">
        <v>754</v>
      </c>
      <c r="D758" s="29">
        <v>3.4787798408488064</v>
      </c>
      <c r="E758" s="29">
        <v>43.50132625994695</v>
      </c>
      <c r="F758" s="29">
        <v>426</v>
      </c>
      <c r="G758" s="29">
        <v>56.49867374005305</v>
      </c>
    </row>
    <row r="759" spans="1:7" x14ac:dyDescent="0.3">
      <c r="A759" s="28">
        <v>42948</v>
      </c>
      <c r="B759" s="29" t="s">
        <v>14</v>
      </c>
      <c r="C759" s="29">
        <v>548</v>
      </c>
      <c r="D759" s="29">
        <v>3.4872262773722627</v>
      </c>
      <c r="E759" s="29">
        <v>43.430656934306569</v>
      </c>
      <c r="F759" s="29">
        <v>310</v>
      </c>
      <c r="G759" s="29">
        <v>56.569343065693431</v>
      </c>
    </row>
    <row r="760" spans="1:7" x14ac:dyDescent="0.3">
      <c r="A760" s="26">
        <v>42948</v>
      </c>
      <c r="B760" s="27" t="s">
        <v>17</v>
      </c>
      <c r="C760" s="27">
        <v>41</v>
      </c>
      <c r="D760" s="27">
        <v>3.4634146341463414</v>
      </c>
      <c r="E760" s="27">
        <v>60.975609756097562</v>
      </c>
      <c r="F760" s="27">
        <v>16</v>
      </c>
      <c r="G760" s="27">
        <v>39.024390243902438</v>
      </c>
    </row>
    <row r="761" spans="1:7" x14ac:dyDescent="0.3">
      <c r="A761" s="28">
        <v>42948</v>
      </c>
      <c r="B761" s="29" t="s">
        <v>32</v>
      </c>
      <c r="C761" s="29">
        <v>16</v>
      </c>
      <c r="D761" s="29">
        <v>3.1875</v>
      </c>
      <c r="E761" s="29">
        <v>43.75</v>
      </c>
      <c r="F761" s="29">
        <v>9</v>
      </c>
      <c r="G761" s="29">
        <v>56.25</v>
      </c>
    </row>
    <row r="762" spans="1:7" x14ac:dyDescent="0.3">
      <c r="A762" s="28">
        <v>42948</v>
      </c>
      <c r="B762" s="29" t="s">
        <v>19</v>
      </c>
      <c r="C762" s="29">
        <v>41</v>
      </c>
      <c r="D762" s="29">
        <v>3.9024390243902438</v>
      </c>
      <c r="E762" s="29">
        <v>39.024390243902438</v>
      </c>
      <c r="F762" s="29">
        <v>25</v>
      </c>
      <c r="G762" s="29">
        <v>60.975609756097562</v>
      </c>
    </row>
    <row r="763" spans="1:7" x14ac:dyDescent="0.3">
      <c r="A763" s="26">
        <v>42948</v>
      </c>
      <c r="B763" s="27" t="s">
        <v>20</v>
      </c>
      <c r="C763" s="27">
        <v>46</v>
      </c>
      <c r="D763" s="27">
        <v>3.652173913043478</v>
      </c>
      <c r="E763" s="27">
        <v>45.652173913043477</v>
      </c>
      <c r="F763" s="27">
        <v>25</v>
      </c>
      <c r="G763" s="27">
        <v>54.347826086956516</v>
      </c>
    </row>
    <row r="764" spans="1:7" x14ac:dyDescent="0.3">
      <c r="A764" s="26">
        <v>42948</v>
      </c>
      <c r="B764" s="27" t="s">
        <v>22</v>
      </c>
      <c r="C764" s="27">
        <v>29</v>
      </c>
      <c r="D764" s="27">
        <v>2.9655172413793105</v>
      </c>
      <c r="E764" s="27">
        <v>51.724137931034484</v>
      </c>
      <c r="F764" s="27">
        <v>14</v>
      </c>
      <c r="G764" s="27">
        <v>48.275862068965516</v>
      </c>
    </row>
    <row r="765" spans="1:7" x14ac:dyDescent="0.3">
      <c r="A765" s="28">
        <v>42948</v>
      </c>
      <c r="B765" s="29" t="s">
        <v>23</v>
      </c>
      <c r="C765" s="29">
        <v>571</v>
      </c>
      <c r="D765" s="29">
        <v>3.5779334500875657</v>
      </c>
      <c r="E765" s="29">
        <v>43.782837127845887</v>
      </c>
      <c r="F765" s="29">
        <v>321</v>
      </c>
      <c r="G765" s="29">
        <v>56.217162872154113</v>
      </c>
    </row>
    <row r="766" spans="1:7" x14ac:dyDescent="0.3">
      <c r="A766" s="28">
        <v>42948</v>
      </c>
      <c r="B766" s="29" t="s">
        <v>33</v>
      </c>
      <c r="C766" s="29">
        <v>67</v>
      </c>
      <c r="D766" s="29">
        <v>3.3880597014925371</v>
      </c>
      <c r="E766" s="29">
        <v>43.283582089552233</v>
      </c>
      <c r="F766" s="29">
        <v>38</v>
      </c>
      <c r="G766" s="29">
        <v>56.71641791044776</v>
      </c>
    </row>
    <row r="767" spans="1:7" x14ac:dyDescent="0.3">
      <c r="A767" s="28">
        <v>42948</v>
      </c>
      <c r="B767" s="29" t="s">
        <v>24</v>
      </c>
      <c r="C767" s="29">
        <v>12</v>
      </c>
      <c r="D767" s="29">
        <v>3.6666666666666665</v>
      </c>
      <c r="E767" s="29">
        <v>41.666666666666671</v>
      </c>
      <c r="F767" s="29">
        <v>7</v>
      </c>
      <c r="G767" s="29">
        <v>58.333333333333336</v>
      </c>
    </row>
    <row r="768" spans="1:7" x14ac:dyDescent="0.3">
      <c r="A768" s="26">
        <v>42948</v>
      </c>
      <c r="B768" s="27" t="s">
        <v>25</v>
      </c>
      <c r="C768" s="27">
        <v>678</v>
      </c>
      <c r="D768" s="27">
        <v>3.4808259587020647</v>
      </c>
      <c r="E768" s="27">
        <v>45.427728613569322</v>
      </c>
      <c r="F768" s="27">
        <v>370</v>
      </c>
      <c r="G768" s="27">
        <v>54.572271386430685</v>
      </c>
    </row>
    <row r="769" spans="1:7" x14ac:dyDescent="0.3">
      <c r="A769" s="28">
        <v>42948</v>
      </c>
      <c r="B769" s="29" t="s">
        <v>34</v>
      </c>
      <c r="C769" s="29">
        <v>58</v>
      </c>
      <c r="D769" s="29">
        <v>3.603448275862069</v>
      </c>
      <c r="E769" s="29">
        <v>43.103448275862064</v>
      </c>
      <c r="F769" s="29">
        <v>33</v>
      </c>
      <c r="G769" s="29">
        <v>56.896551724137936</v>
      </c>
    </row>
    <row r="770" spans="1:7" x14ac:dyDescent="0.3">
      <c r="A770" s="28">
        <v>42948</v>
      </c>
      <c r="B770" s="29" t="s">
        <v>26</v>
      </c>
      <c r="C770" s="29">
        <v>317</v>
      </c>
      <c r="D770" s="29">
        <v>3.4353312302839116</v>
      </c>
      <c r="E770" s="29">
        <v>41.640378548895903</v>
      </c>
      <c r="F770" s="29">
        <v>185</v>
      </c>
      <c r="G770" s="29">
        <v>58.359621451104104</v>
      </c>
    </row>
    <row r="771" spans="1:7" x14ac:dyDescent="0.3">
      <c r="A771" s="28">
        <v>42948</v>
      </c>
      <c r="B771" s="29" t="s">
        <v>35</v>
      </c>
      <c r="C771" s="29">
        <v>29</v>
      </c>
      <c r="D771" s="29">
        <v>3.4827586206896552</v>
      </c>
      <c r="E771" s="29">
        <v>37.931034482758619</v>
      </c>
      <c r="F771" s="29">
        <v>18</v>
      </c>
      <c r="G771" s="29">
        <v>62.068965517241381</v>
      </c>
    </row>
    <row r="772" spans="1:7" x14ac:dyDescent="0.3">
      <c r="A772" s="28">
        <v>42948</v>
      </c>
      <c r="B772" s="29" t="s">
        <v>36</v>
      </c>
      <c r="C772" s="29">
        <v>22</v>
      </c>
      <c r="D772" s="29">
        <v>4.1363636363636367</v>
      </c>
      <c r="E772" s="29">
        <v>31.818181818181817</v>
      </c>
      <c r="F772" s="29">
        <v>15</v>
      </c>
      <c r="G772" s="29">
        <v>68.181818181818173</v>
      </c>
    </row>
    <row r="773" spans="1:7" x14ac:dyDescent="0.3">
      <c r="A773" s="28">
        <v>42948</v>
      </c>
      <c r="B773" s="29" t="s">
        <v>28</v>
      </c>
      <c r="C773" s="29">
        <v>25</v>
      </c>
      <c r="D773" s="29">
        <v>3.88</v>
      </c>
      <c r="E773" s="29">
        <v>36</v>
      </c>
      <c r="F773" s="29">
        <v>16</v>
      </c>
      <c r="G773" s="29">
        <v>64</v>
      </c>
    </row>
    <row r="774" spans="1:7" x14ac:dyDescent="0.3">
      <c r="A774" s="26">
        <v>42948</v>
      </c>
      <c r="B774" s="27" t="s">
        <v>29</v>
      </c>
      <c r="C774" s="27">
        <v>516</v>
      </c>
      <c r="D774" s="27">
        <v>3.4166666666666665</v>
      </c>
      <c r="E774" s="27">
        <v>47.674418604651166</v>
      </c>
      <c r="F774" s="27">
        <v>270</v>
      </c>
      <c r="G774" s="27">
        <v>52.325581395348841</v>
      </c>
    </row>
    <row r="775" spans="1:7" x14ac:dyDescent="0.3">
      <c r="A775" s="28">
        <v>42948</v>
      </c>
      <c r="B775" s="29" t="s">
        <v>30</v>
      </c>
      <c r="C775" s="29">
        <v>657</v>
      </c>
      <c r="D775" s="29">
        <v>3.452054794520548</v>
      </c>
      <c r="E775" s="29">
        <v>41.704718417047182</v>
      </c>
      <c r="F775" s="29">
        <v>383</v>
      </c>
      <c r="G775" s="29">
        <v>58.295281582952818</v>
      </c>
    </row>
    <row r="776" spans="1:7" x14ac:dyDescent="0.3">
      <c r="A776" s="26">
        <v>42948</v>
      </c>
      <c r="B776" s="27" t="s">
        <v>37</v>
      </c>
      <c r="C776" s="27">
        <v>48</v>
      </c>
      <c r="D776" s="27">
        <v>3.4583333333333335</v>
      </c>
      <c r="E776" s="27">
        <v>47.916666666666671</v>
      </c>
      <c r="F776" s="27">
        <v>25</v>
      </c>
      <c r="G776" s="27">
        <v>52.083333333333336</v>
      </c>
    </row>
    <row r="777" spans="1:7" x14ac:dyDescent="0.3">
      <c r="A777" s="26">
        <v>42979</v>
      </c>
      <c r="B777" s="27" t="s">
        <v>31</v>
      </c>
      <c r="C777" s="27">
        <v>4</v>
      </c>
      <c r="D777" s="27">
        <v>4.25</v>
      </c>
      <c r="E777" s="27">
        <v>50</v>
      </c>
      <c r="F777" s="27">
        <v>2</v>
      </c>
      <c r="G777" s="27">
        <v>50</v>
      </c>
    </row>
    <row r="778" spans="1:7" x14ac:dyDescent="0.3">
      <c r="A778" s="28">
        <v>42979</v>
      </c>
      <c r="B778" s="29" t="s">
        <v>8</v>
      </c>
      <c r="C778" s="29">
        <v>5</v>
      </c>
      <c r="D778" s="29">
        <v>3</v>
      </c>
      <c r="E778" s="29">
        <v>40</v>
      </c>
      <c r="F778" s="29">
        <v>3</v>
      </c>
      <c r="G778" s="29">
        <v>60</v>
      </c>
    </row>
    <row r="779" spans="1:7" x14ac:dyDescent="0.3">
      <c r="A779" s="28">
        <v>42979</v>
      </c>
      <c r="B779" s="29" t="s">
        <v>38</v>
      </c>
      <c r="C779" s="29">
        <v>59</v>
      </c>
      <c r="D779" s="29">
        <v>3.3898305084745761</v>
      </c>
      <c r="E779" s="29">
        <v>40.677966101694921</v>
      </c>
      <c r="F779" s="29">
        <v>35</v>
      </c>
      <c r="G779" s="29">
        <v>59.322033898305079</v>
      </c>
    </row>
    <row r="780" spans="1:7" x14ac:dyDescent="0.3">
      <c r="A780" s="28">
        <v>42979</v>
      </c>
      <c r="B780" s="29" t="s">
        <v>9</v>
      </c>
      <c r="C780" s="29">
        <v>13</v>
      </c>
      <c r="D780" s="29">
        <v>3.2307692307692308</v>
      </c>
      <c r="E780" s="29">
        <v>38.461538461538467</v>
      </c>
      <c r="F780" s="29">
        <v>8</v>
      </c>
      <c r="G780" s="29">
        <v>61.53846153846154</v>
      </c>
    </row>
    <row r="781" spans="1:7" x14ac:dyDescent="0.3">
      <c r="A781" s="26">
        <v>42979</v>
      </c>
      <c r="B781" s="27" t="s">
        <v>10</v>
      </c>
      <c r="C781" s="27">
        <v>436</v>
      </c>
      <c r="D781" s="27">
        <v>3.2844036697247705</v>
      </c>
      <c r="E781" s="27">
        <v>47.935779816513765</v>
      </c>
      <c r="F781" s="27">
        <v>227</v>
      </c>
      <c r="G781" s="27">
        <v>52.064220183486242</v>
      </c>
    </row>
    <row r="782" spans="1:7" x14ac:dyDescent="0.3">
      <c r="A782" s="26">
        <v>42979</v>
      </c>
      <c r="B782" s="27" t="s">
        <v>11</v>
      </c>
      <c r="C782" s="27">
        <v>380</v>
      </c>
      <c r="D782" s="27">
        <v>3.4552631578947368</v>
      </c>
      <c r="E782" s="27">
        <v>47.631578947368418</v>
      </c>
      <c r="F782" s="27">
        <v>199</v>
      </c>
      <c r="G782" s="27">
        <v>52.368421052631575</v>
      </c>
    </row>
    <row r="783" spans="1:7" x14ac:dyDescent="0.3">
      <c r="A783" s="26">
        <v>42979</v>
      </c>
      <c r="B783" s="27" t="s">
        <v>12</v>
      </c>
      <c r="C783" s="27">
        <v>730</v>
      </c>
      <c r="D783" s="27">
        <v>3.3041095890410959</v>
      </c>
      <c r="E783" s="27">
        <v>48.082191780821923</v>
      </c>
      <c r="F783" s="27">
        <v>379</v>
      </c>
      <c r="G783" s="27">
        <v>51.917808219178085</v>
      </c>
    </row>
    <row r="784" spans="1:7" x14ac:dyDescent="0.3">
      <c r="A784" s="26">
        <v>42979</v>
      </c>
      <c r="B784" s="27" t="s">
        <v>14</v>
      </c>
      <c r="C784" s="27">
        <v>566</v>
      </c>
      <c r="D784" s="27">
        <v>3.3639575971731448</v>
      </c>
      <c r="E784" s="27">
        <v>47.879858657243815</v>
      </c>
      <c r="F784" s="27">
        <v>295</v>
      </c>
      <c r="G784" s="27">
        <v>52.120141342756185</v>
      </c>
    </row>
    <row r="785" spans="1:7" x14ac:dyDescent="0.3">
      <c r="A785" s="28">
        <v>42979</v>
      </c>
      <c r="B785" s="29" t="s">
        <v>15</v>
      </c>
      <c r="C785" s="29">
        <v>7</v>
      </c>
      <c r="D785" s="29">
        <v>3.2857142857142856</v>
      </c>
      <c r="E785" s="29">
        <v>28.571428571428569</v>
      </c>
      <c r="F785" s="29">
        <v>5</v>
      </c>
      <c r="G785" s="29">
        <v>71.428571428571431</v>
      </c>
    </row>
    <row r="786" spans="1:7" x14ac:dyDescent="0.3">
      <c r="A786" s="28">
        <v>42979</v>
      </c>
      <c r="B786" s="29" t="s">
        <v>17</v>
      </c>
      <c r="C786" s="29">
        <v>7</v>
      </c>
      <c r="D786" s="29">
        <v>4.5714285714285712</v>
      </c>
      <c r="E786" s="29">
        <v>28.571428571428569</v>
      </c>
      <c r="F786" s="29">
        <v>5</v>
      </c>
      <c r="G786" s="29">
        <v>71.428571428571431</v>
      </c>
    </row>
    <row r="787" spans="1:7" x14ac:dyDescent="0.3">
      <c r="A787" s="28">
        <v>42979</v>
      </c>
      <c r="B787" s="29" t="s">
        <v>19</v>
      </c>
      <c r="C787" s="29">
        <v>51</v>
      </c>
      <c r="D787" s="29">
        <v>3.7058823529411766</v>
      </c>
      <c r="E787" s="29">
        <v>39.215686274509807</v>
      </c>
      <c r="F787" s="29">
        <v>31</v>
      </c>
      <c r="G787" s="29">
        <v>60.784313725490193</v>
      </c>
    </row>
    <row r="788" spans="1:7" x14ac:dyDescent="0.3">
      <c r="A788" s="26">
        <v>42979</v>
      </c>
      <c r="B788" s="27" t="s">
        <v>20</v>
      </c>
      <c r="C788" s="27">
        <v>13</v>
      </c>
      <c r="D788" s="27">
        <v>3.0769230769230771</v>
      </c>
      <c r="E788" s="27">
        <v>53.846153846153847</v>
      </c>
      <c r="F788" s="27">
        <v>6</v>
      </c>
      <c r="G788" s="27">
        <v>46.153846153846153</v>
      </c>
    </row>
    <row r="789" spans="1:7" x14ac:dyDescent="0.3">
      <c r="A789" s="26">
        <v>42979</v>
      </c>
      <c r="B789" s="27" t="s">
        <v>21</v>
      </c>
      <c r="C789" s="27">
        <v>27</v>
      </c>
      <c r="D789" s="27">
        <v>3.4074074074074074</v>
      </c>
      <c r="E789" s="27">
        <v>48.148148148148145</v>
      </c>
      <c r="F789" s="27">
        <v>14</v>
      </c>
      <c r="G789" s="27">
        <v>51.851851851851848</v>
      </c>
    </row>
    <row r="790" spans="1:7" x14ac:dyDescent="0.3">
      <c r="A790" s="26">
        <v>42979</v>
      </c>
      <c r="B790" s="27" t="s">
        <v>22</v>
      </c>
      <c r="C790" s="27">
        <v>7</v>
      </c>
      <c r="D790" s="27">
        <v>2.4285714285714284</v>
      </c>
      <c r="E790" s="27">
        <v>57.142857142857139</v>
      </c>
      <c r="F790" s="27">
        <v>3</v>
      </c>
      <c r="G790" s="27">
        <v>42.857142857142854</v>
      </c>
    </row>
    <row r="791" spans="1:7" x14ac:dyDescent="0.3">
      <c r="A791" s="26">
        <v>42979</v>
      </c>
      <c r="B791" s="27" t="s">
        <v>23</v>
      </c>
      <c r="C791" s="27">
        <v>553</v>
      </c>
      <c r="D791" s="27">
        <v>3.4267631103074141</v>
      </c>
      <c r="E791" s="27">
        <v>47.016274864376129</v>
      </c>
      <c r="F791" s="27">
        <v>293</v>
      </c>
      <c r="G791" s="27">
        <v>52.983725135623871</v>
      </c>
    </row>
    <row r="792" spans="1:7" x14ac:dyDescent="0.3">
      <c r="A792" s="28">
        <v>42979</v>
      </c>
      <c r="B792" s="29" t="s">
        <v>33</v>
      </c>
      <c r="C792" s="29">
        <v>103</v>
      </c>
      <c r="D792" s="29">
        <v>3.737864077669903</v>
      </c>
      <c r="E792" s="29">
        <v>35.922330097087382</v>
      </c>
      <c r="F792" s="29">
        <v>66</v>
      </c>
      <c r="G792" s="29">
        <v>64.077669902912632</v>
      </c>
    </row>
    <row r="793" spans="1:7" x14ac:dyDescent="0.3">
      <c r="A793" s="28">
        <v>42979</v>
      </c>
      <c r="B793" s="29" t="s">
        <v>24</v>
      </c>
      <c r="C793" s="29">
        <v>5</v>
      </c>
      <c r="D793" s="29">
        <v>3.8</v>
      </c>
      <c r="E793" s="29">
        <v>20</v>
      </c>
      <c r="F793" s="29">
        <v>4</v>
      </c>
      <c r="G793" s="29">
        <v>80</v>
      </c>
    </row>
    <row r="794" spans="1:7" x14ac:dyDescent="0.3">
      <c r="A794" s="26">
        <v>42979</v>
      </c>
      <c r="B794" s="27" t="s">
        <v>25</v>
      </c>
      <c r="C794" s="27">
        <v>662</v>
      </c>
      <c r="D794" s="27">
        <v>3.4864048338368581</v>
      </c>
      <c r="E794" s="27">
        <v>46.676737160120844</v>
      </c>
      <c r="F794" s="27">
        <v>353</v>
      </c>
      <c r="G794" s="27">
        <v>53.323262839879149</v>
      </c>
    </row>
    <row r="795" spans="1:7" x14ac:dyDescent="0.3">
      <c r="A795" s="28">
        <v>42979</v>
      </c>
      <c r="B795" s="29" t="s">
        <v>34</v>
      </c>
      <c r="C795" s="29">
        <v>21</v>
      </c>
      <c r="D795" s="29">
        <v>3.9523809523809526</v>
      </c>
      <c r="E795" s="29">
        <v>38.095238095238095</v>
      </c>
      <c r="F795" s="29">
        <v>13</v>
      </c>
      <c r="G795" s="29">
        <v>61.904761904761905</v>
      </c>
    </row>
    <row r="796" spans="1:7" x14ac:dyDescent="0.3">
      <c r="A796" s="26">
        <v>42979</v>
      </c>
      <c r="B796" s="27" t="s">
        <v>26</v>
      </c>
      <c r="C796" s="27">
        <v>328</v>
      </c>
      <c r="D796" s="27">
        <v>3.4939024390243905</v>
      </c>
      <c r="E796" s="27">
        <v>45.121951219512198</v>
      </c>
      <c r="F796" s="27">
        <v>180</v>
      </c>
      <c r="G796" s="27">
        <v>54.878048780487809</v>
      </c>
    </row>
    <row r="797" spans="1:7" x14ac:dyDescent="0.3">
      <c r="A797" s="26">
        <v>42979</v>
      </c>
      <c r="B797" s="27" t="s">
        <v>35</v>
      </c>
      <c r="C797" s="27">
        <v>7</v>
      </c>
      <c r="D797" s="27">
        <v>4.1428571428571432</v>
      </c>
      <c r="E797" s="27">
        <v>57.142857142857139</v>
      </c>
      <c r="F797" s="27">
        <v>3</v>
      </c>
      <c r="G797" s="27">
        <v>42.857142857142854</v>
      </c>
    </row>
    <row r="798" spans="1:7" x14ac:dyDescent="0.3">
      <c r="A798" s="28">
        <v>42979</v>
      </c>
      <c r="B798" s="29" t="s">
        <v>36</v>
      </c>
      <c r="C798" s="29">
        <v>42</v>
      </c>
      <c r="D798" s="29">
        <v>3.5714285714285716</v>
      </c>
      <c r="E798" s="29">
        <v>40.476190476190474</v>
      </c>
      <c r="F798" s="29">
        <v>25</v>
      </c>
      <c r="G798" s="29">
        <v>59.523809523809526</v>
      </c>
    </row>
    <row r="799" spans="1:7" x14ac:dyDescent="0.3">
      <c r="A799" s="28">
        <v>42979</v>
      </c>
      <c r="B799" s="29" t="s">
        <v>28</v>
      </c>
      <c r="C799" s="29">
        <v>4</v>
      </c>
      <c r="D799" s="29">
        <v>4.75</v>
      </c>
      <c r="E799" s="29">
        <v>25</v>
      </c>
      <c r="F799" s="29">
        <v>3</v>
      </c>
      <c r="G799" s="29">
        <v>75</v>
      </c>
    </row>
    <row r="800" spans="1:7" x14ac:dyDescent="0.3">
      <c r="A800" s="28">
        <v>42979</v>
      </c>
      <c r="B800" s="29" t="s">
        <v>29</v>
      </c>
      <c r="C800" s="29">
        <v>512</v>
      </c>
      <c r="D800" s="29">
        <v>3.322265625</v>
      </c>
      <c r="E800" s="29">
        <v>43.75</v>
      </c>
      <c r="F800" s="29">
        <v>288</v>
      </c>
      <c r="G800" s="29">
        <v>56.25</v>
      </c>
    </row>
    <row r="801" spans="1:7" x14ac:dyDescent="0.3">
      <c r="A801" s="26">
        <v>42979</v>
      </c>
      <c r="B801" s="27" t="s">
        <v>30</v>
      </c>
      <c r="C801" s="27">
        <v>641</v>
      </c>
      <c r="D801" s="27">
        <v>3.5834633385335413</v>
      </c>
      <c r="E801" s="27">
        <v>45.709828393135723</v>
      </c>
      <c r="F801" s="27">
        <v>348</v>
      </c>
      <c r="G801" s="27">
        <v>54.290171606864277</v>
      </c>
    </row>
    <row r="802" spans="1:7" x14ac:dyDescent="0.3">
      <c r="A802" s="28">
        <v>42979</v>
      </c>
      <c r="B802" s="29" t="s">
        <v>37</v>
      </c>
      <c r="C802" s="29">
        <v>6</v>
      </c>
      <c r="D802" s="29">
        <v>4</v>
      </c>
      <c r="E802" s="29">
        <v>33.333333333333329</v>
      </c>
      <c r="F802" s="29">
        <v>4</v>
      </c>
      <c r="G802" s="29">
        <v>66.666666666666657</v>
      </c>
    </row>
    <row r="803" spans="1:7" x14ac:dyDescent="0.3">
      <c r="A803" s="26">
        <v>43009</v>
      </c>
      <c r="B803" s="27" t="s">
        <v>39</v>
      </c>
      <c r="C803" s="27">
        <v>82</v>
      </c>
      <c r="D803" s="27">
        <v>3.1341463414634148</v>
      </c>
      <c r="E803" s="27">
        <v>59.756097560975604</v>
      </c>
      <c r="F803" s="27">
        <v>33</v>
      </c>
      <c r="G803" s="27">
        <v>40.243902439024396</v>
      </c>
    </row>
    <row r="804" spans="1:7" x14ac:dyDescent="0.3">
      <c r="A804" s="28">
        <v>43009</v>
      </c>
      <c r="B804" s="29" t="s">
        <v>38</v>
      </c>
      <c r="C804" s="29">
        <v>8</v>
      </c>
      <c r="D804" s="29">
        <v>4</v>
      </c>
      <c r="E804" s="29">
        <v>37.5</v>
      </c>
      <c r="F804" s="29">
        <v>5</v>
      </c>
      <c r="G804" s="29">
        <v>62.5</v>
      </c>
    </row>
    <row r="805" spans="1:7" x14ac:dyDescent="0.3">
      <c r="A805" s="26">
        <v>43009</v>
      </c>
      <c r="B805" s="27" t="s">
        <v>40</v>
      </c>
      <c r="C805" s="27">
        <v>308</v>
      </c>
      <c r="D805" s="27">
        <v>3.3214285714285716</v>
      </c>
      <c r="E805" s="27">
        <v>49.675324675324681</v>
      </c>
      <c r="F805" s="27">
        <v>155</v>
      </c>
      <c r="G805" s="27">
        <v>50.324675324675326</v>
      </c>
    </row>
    <row r="806" spans="1:7" x14ac:dyDescent="0.3">
      <c r="A806" s="26">
        <v>43009</v>
      </c>
      <c r="B806" s="27" t="s">
        <v>41</v>
      </c>
      <c r="C806" s="27">
        <v>133</v>
      </c>
      <c r="D806" s="27">
        <v>3.481203007518797</v>
      </c>
      <c r="E806" s="27">
        <v>46.616541353383454</v>
      </c>
      <c r="F806" s="27">
        <v>71</v>
      </c>
      <c r="G806" s="27">
        <v>53.383458646616546</v>
      </c>
    </row>
    <row r="807" spans="1:7" x14ac:dyDescent="0.3">
      <c r="A807" s="28">
        <v>43009</v>
      </c>
      <c r="B807" s="29" t="s">
        <v>42</v>
      </c>
      <c r="C807" s="29">
        <v>575</v>
      </c>
      <c r="D807" s="29">
        <v>3.3286956521739128</v>
      </c>
      <c r="E807" s="29">
        <v>39.652173913043477</v>
      </c>
      <c r="F807" s="29">
        <v>347</v>
      </c>
      <c r="G807" s="29">
        <v>60.347826086956523</v>
      </c>
    </row>
    <row r="808" spans="1:7" x14ac:dyDescent="0.3">
      <c r="A808" s="26">
        <v>43009</v>
      </c>
      <c r="B808" s="27" t="s">
        <v>10</v>
      </c>
      <c r="C808" s="27">
        <v>15</v>
      </c>
      <c r="D808" s="27">
        <v>3.8</v>
      </c>
      <c r="E808" s="27">
        <v>53.333333333333336</v>
      </c>
      <c r="F808" s="27">
        <v>7</v>
      </c>
      <c r="G808" s="27">
        <v>46.666666666666664</v>
      </c>
    </row>
    <row r="809" spans="1:7" x14ac:dyDescent="0.3">
      <c r="A809" s="26">
        <v>43009</v>
      </c>
      <c r="B809" s="27" t="s">
        <v>11</v>
      </c>
      <c r="C809" s="27">
        <v>22</v>
      </c>
      <c r="D809" s="27">
        <v>4.2272727272727275</v>
      </c>
      <c r="E809" s="27">
        <v>54.54545454545454</v>
      </c>
      <c r="F809" s="27">
        <v>10</v>
      </c>
      <c r="G809" s="27">
        <v>45.454545454545453</v>
      </c>
    </row>
    <row r="810" spans="1:7" x14ac:dyDescent="0.3">
      <c r="A810" s="26">
        <v>43009</v>
      </c>
      <c r="B810" s="27" t="s">
        <v>43</v>
      </c>
      <c r="C810" s="27">
        <v>522</v>
      </c>
      <c r="D810" s="27">
        <v>3.5900383141762453</v>
      </c>
      <c r="E810" s="27">
        <v>45.019157088122611</v>
      </c>
      <c r="F810" s="27">
        <v>287</v>
      </c>
      <c r="G810" s="27">
        <v>54.980842911877389</v>
      </c>
    </row>
    <row r="811" spans="1:7" x14ac:dyDescent="0.3">
      <c r="A811" s="26">
        <v>43009</v>
      </c>
      <c r="B811" s="27" t="s">
        <v>12</v>
      </c>
      <c r="C811" s="27">
        <v>37</v>
      </c>
      <c r="D811" s="27">
        <v>3.7297297297297298</v>
      </c>
      <c r="E811" s="27">
        <v>59.45945945945946</v>
      </c>
      <c r="F811" s="27">
        <v>15</v>
      </c>
      <c r="G811" s="27">
        <v>40.54054054054054</v>
      </c>
    </row>
    <row r="812" spans="1:7" x14ac:dyDescent="0.3">
      <c r="A812" s="26">
        <v>43009</v>
      </c>
      <c r="B812" s="27" t="s">
        <v>44</v>
      </c>
      <c r="C812" s="27">
        <v>350</v>
      </c>
      <c r="D812" s="27">
        <v>3.577142857142857</v>
      </c>
      <c r="E812" s="27">
        <v>48.571428571428569</v>
      </c>
      <c r="F812" s="27">
        <v>180</v>
      </c>
      <c r="G812" s="27">
        <v>51.428571428571423</v>
      </c>
    </row>
    <row r="813" spans="1:7" x14ac:dyDescent="0.3">
      <c r="A813" s="28">
        <v>43009</v>
      </c>
      <c r="B813" s="29" t="s">
        <v>45</v>
      </c>
      <c r="C813" s="29">
        <v>49</v>
      </c>
      <c r="D813" s="29">
        <v>3.5918367346938775</v>
      </c>
      <c r="E813" s="29">
        <v>42.857142857142854</v>
      </c>
      <c r="F813" s="29">
        <v>28</v>
      </c>
      <c r="G813" s="29">
        <v>57.142857142857139</v>
      </c>
    </row>
    <row r="814" spans="1:7" x14ac:dyDescent="0.3">
      <c r="A814" s="26">
        <v>43009</v>
      </c>
      <c r="B814" s="27" t="s">
        <v>14</v>
      </c>
      <c r="C814" s="27">
        <v>17</v>
      </c>
      <c r="D814" s="27">
        <v>3.5882352941176472</v>
      </c>
      <c r="E814" s="27">
        <v>47.058823529411761</v>
      </c>
      <c r="F814" s="27">
        <v>9</v>
      </c>
      <c r="G814" s="27">
        <v>52.941176470588239</v>
      </c>
    </row>
    <row r="815" spans="1:7" x14ac:dyDescent="0.3">
      <c r="A815" s="26">
        <v>43009</v>
      </c>
      <c r="B815" s="27" t="s">
        <v>15</v>
      </c>
      <c r="C815" s="27">
        <v>3</v>
      </c>
      <c r="D815" s="27">
        <v>4</v>
      </c>
      <c r="E815" s="27">
        <v>66.666666666666657</v>
      </c>
      <c r="F815" s="27">
        <v>1</v>
      </c>
      <c r="G815" s="27">
        <v>33.333333333333329</v>
      </c>
    </row>
    <row r="816" spans="1:7" x14ac:dyDescent="0.3">
      <c r="A816" s="28">
        <v>43009</v>
      </c>
      <c r="B816" s="29" t="s">
        <v>23</v>
      </c>
      <c r="C816" s="29">
        <v>25</v>
      </c>
      <c r="D816" s="29">
        <v>4.4000000000000004</v>
      </c>
      <c r="E816" s="29">
        <v>32</v>
      </c>
      <c r="F816" s="29">
        <v>17</v>
      </c>
      <c r="G816" s="29">
        <v>68</v>
      </c>
    </row>
    <row r="817" spans="1:7" x14ac:dyDescent="0.3">
      <c r="A817" s="26">
        <v>43009</v>
      </c>
      <c r="B817" s="27" t="s">
        <v>33</v>
      </c>
      <c r="C817" s="27">
        <v>7</v>
      </c>
      <c r="D817" s="27">
        <v>3</v>
      </c>
      <c r="E817" s="27">
        <v>57.142857142857139</v>
      </c>
      <c r="F817" s="27">
        <v>3</v>
      </c>
      <c r="G817" s="27">
        <v>42.857142857142854</v>
      </c>
    </row>
    <row r="818" spans="1:7" x14ac:dyDescent="0.3">
      <c r="A818" s="26">
        <v>43009</v>
      </c>
      <c r="B818" s="27" t="s">
        <v>25</v>
      </c>
      <c r="C818" s="27">
        <v>32</v>
      </c>
      <c r="D818" s="27">
        <v>3.5</v>
      </c>
      <c r="E818" s="27">
        <v>56.25</v>
      </c>
      <c r="F818" s="27">
        <v>14</v>
      </c>
      <c r="G818" s="27">
        <v>43.75</v>
      </c>
    </row>
    <row r="819" spans="1:7" x14ac:dyDescent="0.3">
      <c r="A819" s="28">
        <v>43009</v>
      </c>
      <c r="B819" s="29" t="s">
        <v>26</v>
      </c>
      <c r="C819" s="29">
        <v>9</v>
      </c>
      <c r="D819" s="29">
        <v>3.4444444444444446</v>
      </c>
      <c r="E819" s="29">
        <v>44.444444444444443</v>
      </c>
      <c r="F819" s="29">
        <v>5</v>
      </c>
      <c r="G819" s="29">
        <v>55.555555555555557</v>
      </c>
    </row>
    <row r="820" spans="1:7" x14ac:dyDescent="0.3">
      <c r="A820" s="26">
        <v>43009</v>
      </c>
      <c r="B820" s="27" t="s">
        <v>36</v>
      </c>
      <c r="C820" s="27">
        <v>9</v>
      </c>
      <c r="D820" s="27">
        <v>3.6666666666666665</v>
      </c>
      <c r="E820" s="27">
        <v>55.555555555555557</v>
      </c>
      <c r="F820" s="27">
        <v>4</v>
      </c>
      <c r="G820" s="27">
        <v>44.444444444444443</v>
      </c>
    </row>
    <row r="821" spans="1:7" x14ac:dyDescent="0.3">
      <c r="A821" s="26">
        <v>43009</v>
      </c>
      <c r="B821" s="27" t="s">
        <v>29</v>
      </c>
      <c r="C821" s="27">
        <v>25</v>
      </c>
      <c r="D821" s="27">
        <v>3.76</v>
      </c>
      <c r="E821" s="27">
        <v>64</v>
      </c>
      <c r="F821" s="27">
        <v>9</v>
      </c>
      <c r="G821" s="27">
        <v>36</v>
      </c>
    </row>
    <row r="822" spans="1:7" x14ac:dyDescent="0.3">
      <c r="A822" s="26">
        <v>43009</v>
      </c>
      <c r="B822" s="27" t="s">
        <v>30</v>
      </c>
      <c r="C822" s="27">
        <v>27</v>
      </c>
      <c r="D822" s="27">
        <v>3.4814814814814814</v>
      </c>
      <c r="E822" s="27">
        <v>51.851851851851848</v>
      </c>
      <c r="F822" s="27">
        <v>13</v>
      </c>
      <c r="G822" s="27">
        <v>48.148148148148145</v>
      </c>
    </row>
    <row r="823" spans="1:7" x14ac:dyDescent="0.3">
      <c r="A823" s="26">
        <v>43040</v>
      </c>
      <c r="B823" s="27" t="s">
        <v>45</v>
      </c>
      <c r="C823" s="27">
        <v>236</v>
      </c>
      <c r="D823" s="27">
        <v>3.2838983050847457</v>
      </c>
      <c r="E823" s="27">
        <v>45.33898305084746</v>
      </c>
      <c r="F823" s="27">
        <v>129</v>
      </c>
      <c r="G823" s="27">
        <v>54.66101694915254</v>
      </c>
    </row>
    <row r="824" spans="1:7" x14ac:dyDescent="0.3">
      <c r="A824" s="28">
        <v>43040</v>
      </c>
      <c r="B824" s="29" t="s">
        <v>46</v>
      </c>
      <c r="C824" s="29">
        <v>231</v>
      </c>
      <c r="D824" s="29">
        <v>3.5974025974025974</v>
      </c>
      <c r="E824" s="29">
        <v>42.857142857142854</v>
      </c>
      <c r="F824" s="29">
        <v>132</v>
      </c>
      <c r="G824" s="29">
        <v>57.142857142857139</v>
      </c>
    </row>
    <row r="825" spans="1:7" x14ac:dyDescent="0.3">
      <c r="A825" s="26">
        <v>43040</v>
      </c>
      <c r="B825" s="27" t="s">
        <v>47</v>
      </c>
      <c r="C825" s="27">
        <v>367</v>
      </c>
      <c r="D825" s="27">
        <v>3.6049046321525884</v>
      </c>
      <c r="E825" s="27">
        <v>46.594005449591279</v>
      </c>
      <c r="F825" s="27">
        <v>196</v>
      </c>
      <c r="G825" s="27">
        <v>53.405994550408721</v>
      </c>
    </row>
    <row r="826" spans="1:7" x14ac:dyDescent="0.3">
      <c r="A826" s="26">
        <v>43040</v>
      </c>
      <c r="B826" s="27" t="s">
        <v>48</v>
      </c>
      <c r="C826" s="27">
        <v>388</v>
      </c>
      <c r="D826" s="27">
        <v>3.4304123711340204</v>
      </c>
      <c r="E826" s="27">
        <v>47.680412371134025</v>
      </c>
      <c r="F826" s="27">
        <v>203</v>
      </c>
      <c r="G826" s="27">
        <v>52.319587628865982</v>
      </c>
    </row>
    <row r="827" spans="1:7" x14ac:dyDescent="0.3">
      <c r="A827" s="28">
        <v>43040</v>
      </c>
      <c r="B827" s="29" t="s">
        <v>49</v>
      </c>
      <c r="C827" s="29">
        <v>239</v>
      </c>
      <c r="D827" s="29">
        <v>3.5313807531380754</v>
      </c>
      <c r="E827" s="29">
        <v>43.096234309623433</v>
      </c>
      <c r="F827" s="29">
        <v>136</v>
      </c>
      <c r="G827" s="29">
        <v>56.903765690376574</v>
      </c>
    </row>
    <row r="828" spans="1:7" x14ac:dyDescent="0.3">
      <c r="A828" s="26">
        <v>43040</v>
      </c>
      <c r="B828" s="27" t="s">
        <v>50</v>
      </c>
      <c r="C828" s="27">
        <v>177</v>
      </c>
      <c r="D828" s="27">
        <v>3.5593220338983049</v>
      </c>
      <c r="E828" s="27">
        <v>48.587570621468927</v>
      </c>
      <c r="F828" s="27">
        <v>91</v>
      </c>
      <c r="G828" s="27">
        <v>51.41242937853108</v>
      </c>
    </row>
    <row r="829" spans="1:7" x14ac:dyDescent="0.3">
      <c r="A829" s="28">
        <v>43040</v>
      </c>
      <c r="B829" s="29" t="s">
        <v>51</v>
      </c>
      <c r="C829" s="29">
        <v>290</v>
      </c>
      <c r="D829" s="29">
        <v>3.4413793103448276</v>
      </c>
      <c r="E829" s="29">
        <v>42.758620689655174</v>
      </c>
      <c r="F829" s="29">
        <v>166</v>
      </c>
      <c r="G829" s="29">
        <v>57.241379310344833</v>
      </c>
    </row>
    <row r="830" spans="1:7" x14ac:dyDescent="0.3">
      <c r="A830" s="28">
        <v>43040</v>
      </c>
      <c r="B830" s="29" t="s">
        <v>52</v>
      </c>
      <c r="C830" s="29">
        <v>127</v>
      </c>
      <c r="D830" s="29">
        <v>3.4724409448818898</v>
      </c>
      <c r="E830" s="29">
        <v>40.15748031496063</v>
      </c>
      <c r="F830" s="29">
        <v>76</v>
      </c>
      <c r="G830" s="29">
        <v>59.842519685039377</v>
      </c>
    </row>
    <row r="831" spans="1:7" x14ac:dyDescent="0.3">
      <c r="A831" s="26">
        <v>43070</v>
      </c>
      <c r="B831" s="27" t="s">
        <v>39</v>
      </c>
      <c r="C831" s="27">
        <v>125</v>
      </c>
      <c r="D831" s="27">
        <v>3.04</v>
      </c>
      <c r="E831" s="27">
        <v>48</v>
      </c>
      <c r="F831" s="27">
        <v>65</v>
      </c>
      <c r="G831" s="27">
        <v>52</v>
      </c>
    </row>
    <row r="832" spans="1:7" x14ac:dyDescent="0.3">
      <c r="A832" s="26">
        <v>43070</v>
      </c>
      <c r="B832" s="27" t="s">
        <v>40</v>
      </c>
      <c r="C832" s="27">
        <v>97</v>
      </c>
      <c r="D832" s="27">
        <v>3.268041237113402</v>
      </c>
      <c r="E832" s="27">
        <v>53.608247422680414</v>
      </c>
      <c r="F832" s="27">
        <v>45</v>
      </c>
      <c r="G832" s="27">
        <v>46.391752577319586</v>
      </c>
    </row>
    <row r="833" spans="1:7" x14ac:dyDescent="0.3">
      <c r="A833" s="26">
        <v>43070</v>
      </c>
      <c r="B833" s="27" t="s">
        <v>41</v>
      </c>
      <c r="C833" s="27">
        <v>138</v>
      </c>
      <c r="D833" s="27">
        <v>3.3695652173913042</v>
      </c>
      <c r="E833" s="27">
        <v>50.724637681159422</v>
      </c>
      <c r="F833" s="27">
        <v>68</v>
      </c>
      <c r="G833" s="27">
        <v>49.275362318840585</v>
      </c>
    </row>
    <row r="834" spans="1:7" x14ac:dyDescent="0.3">
      <c r="A834" s="28">
        <v>43070</v>
      </c>
      <c r="B834" s="29" t="s">
        <v>42</v>
      </c>
      <c r="C834" s="29">
        <v>17</v>
      </c>
      <c r="D834" s="29">
        <v>3.1764705882352939</v>
      </c>
      <c r="E834" s="29">
        <v>29.411764705882355</v>
      </c>
      <c r="F834" s="29">
        <v>12</v>
      </c>
      <c r="G834" s="29">
        <v>70.588235294117652</v>
      </c>
    </row>
    <row r="835" spans="1:7" x14ac:dyDescent="0.3">
      <c r="A835" s="26">
        <v>43070</v>
      </c>
      <c r="B835" s="27" t="s">
        <v>43</v>
      </c>
      <c r="C835" s="27">
        <v>130</v>
      </c>
      <c r="D835" s="27">
        <v>3.5846153846153848</v>
      </c>
      <c r="E835" s="27">
        <v>46.153846153846153</v>
      </c>
      <c r="F835" s="27">
        <v>70</v>
      </c>
      <c r="G835" s="27">
        <v>53.846153846153847</v>
      </c>
    </row>
    <row r="836" spans="1:7" x14ac:dyDescent="0.3">
      <c r="A836" s="26">
        <v>43070</v>
      </c>
      <c r="B836" s="27" t="s">
        <v>44</v>
      </c>
      <c r="C836" s="27">
        <v>92</v>
      </c>
      <c r="D836" s="27">
        <v>3.7282608695652173</v>
      </c>
      <c r="E836" s="27">
        <v>45.652173913043477</v>
      </c>
      <c r="F836" s="27">
        <v>50</v>
      </c>
      <c r="G836" s="27">
        <v>54.347826086956516</v>
      </c>
    </row>
    <row r="837" spans="1:7" x14ac:dyDescent="0.3">
      <c r="A837" s="26">
        <v>43070</v>
      </c>
      <c r="B837" s="27" t="s">
        <v>45</v>
      </c>
      <c r="C837" s="27">
        <v>146</v>
      </c>
      <c r="D837" s="27">
        <v>3.4863013698630136</v>
      </c>
      <c r="E837" s="27">
        <v>45.890410958904113</v>
      </c>
      <c r="F837" s="27">
        <v>79</v>
      </c>
      <c r="G837" s="27">
        <v>54.109589041095894</v>
      </c>
    </row>
    <row r="838" spans="1:7" x14ac:dyDescent="0.3">
      <c r="A838" s="28">
        <v>43070</v>
      </c>
      <c r="B838" s="29" t="s">
        <v>46</v>
      </c>
      <c r="C838" s="29">
        <v>253</v>
      </c>
      <c r="D838" s="29">
        <v>3.5375494071146245</v>
      </c>
      <c r="E838" s="29">
        <v>40.711462450592883</v>
      </c>
      <c r="F838" s="29">
        <v>150</v>
      </c>
      <c r="G838" s="29">
        <v>59.288537549407117</v>
      </c>
    </row>
    <row r="839" spans="1:7" x14ac:dyDescent="0.3">
      <c r="A839" s="26">
        <v>43070</v>
      </c>
      <c r="B839" s="27" t="s">
        <v>47</v>
      </c>
      <c r="C839" s="27">
        <v>109</v>
      </c>
      <c r="D839" s="27">
        <v>3.761467889908257</v>
      </c>
      <c r="E839" s="27">
        <v>48.623853211009177</v>
      </c>
      <c r="F839" s="27">
        <v>56</v>
      </c>
      <c r="G839" s="27">
        <v>51.37614678899083</v>
      </c>
    </row>
    <row r="840" spans="1:7" x14ac:dyDescent="0.3">
      <c r="A840" s="28">
        <v>43070</v>
      </c>
      <c r="B840" s="29" t="s">
        <v>52</v>
      </c>
      <c r="C840" s="29">
        <v>119</v>
      </c>
      <c r="D840" s="29">
        <v>3.2605042016806722</v>
      </c>
      <c r="E840" s="29">
        <v>42.016806722689076</v>
      </c>
      <c r="F840" s="29">
        <v>69</v>
      </c>
      <c r="G840" s="29">
        <v>57.983193277310932</v>
      </c>
    </row>
    <row r="841" spans="1:7" x14ac:dyDescent="0.3">
      <c r="A841" s="26">
        <v>43070</v>
      </c>
      <c r="B841" s="27" t="s">
        <v>53</v>
      </c>
      <c r="C841" s="27">
        <v>145</v>
      </c>
      <c r="D841" s="27">
        <v>3.5448275862068965</v>
      </c>
      <c r="E841" s="27">
        <v>45.517241379310349</v>
      </c>
      <c r="F841" s="27">
        <v>79</v>
      </c>
      <c r="G841" s="27">
        <v>54.482758620689651</v>
      </c>
    </row>
    <row r="842" spans="1:7" x14ac:dyDescent="0.3">
      <c r="A842" s="28">
        <v>43070</v>
      </c>
      <c r="B842" s="29" t="s">
        <v>54</v>
      </c>
      <c r="C842" s="29">
        <v>253</v>
      </c>
      <c r="D842" s="29">
        <v>3.3794466403162056</v>
      </c>
      <c r="E842" s="29">
        <v>41.106719367588937</v>
      </c>
      <c r="F842" s="29">
        <v>149</v>
      </c>
      <c r="G842" s="29">
        <v>58.89328063241107</v>
      </c>
    </row>
    <row r="843" spans="1:7" x14ac:dyDescent="0.3">
      <c r="A843" s="26">
        <v>43070</v>
      </c>
      <c r="B843" s="27" t="s">
        <v>55</v>
      </c>
      <c r="C843" s="27">
        <v>228</v>
      </c>
      <c r="D843" s="27">
        <v>3.6447368421052633</v>
      </c>
      <c r="E843" s="27">
        <v>49.561403508771932</v>
      </c>
      <c r="F843" s="27">
        <v>115</v>
      </c>
      <c r="G843" s="27">
        <v>50.438596491228068</v>
      </c>
    </row>
    <row r="844" spans="1:7" x14ac:dyDescent="0.3">
      <c r="A844" s="26">
        <v>43070</v>
      </c>
      <c r="B844" s="27" t="s">
        <v>56</v>
      </c>
      <c r="C844" s="27">
        <v>272</v>
      </c>
      <c r="D844" s="27">
        <v>3.3897058823529411</v>
      </c>
      <c r="E844" s="27">
        <v>46.32352941176471</v>
      </c>
      <c r="F844" s="27">
        <v>146</v>
      </c>
      <c r="G844" s="27">
        <v>53.67647058823529</v>
      </c>
    </row>
    <row r="845" spans="1:7" x14ac:dyDescent="0.3">
      <c r="A845" s="28">
        <v>43101</v>
      </c>
      <c r="B845" s="29" t="s">
        <v>47</v>
      </c>
      <c r="C845" s="29">
        <v>7</v>
      </c>
      <c r="D845" s="29">
        <v>2</v>
      </c>
      <c r="E845" s="29">
        <v>0</v>
      </c>
      <c r="F845" s="29">
        <v>7</v>
      </c>
      <c r="G845" s="29">
        <v>100</v>
      </c>
    </row>
    <row r="846" spans="1:7" x14ac:dyDescent="0.3">
      <c r="A846" s="28">
        <v>43101</v>
      </c>
      <c r="B846" s="29" t="s">
        <v>48</v>
      </c>
      <c r="C846" s="29">
        <v>96</v>
      </c>
      <c r="D846" s="29">
        <v>3.6145833333333335</v>
      </c>
      <c r="E846" s="29">
        <v>39.583333333333329</v>
      </c>
      <c r="F846" s="29">
        <v>58</v>
      </c>
      <c r="G846" s="29">
        <v>60.416666666666664</v>
      </c>
    </row>
    <row r="847" spans="1:7" x14ac:dyDescent="0.3">
      <c r="A847" s="28">
        <v>43101</v>
      </c>
      <c r="B847" s="29" t="s">
        <v>49</v>
      </c>
      <c r="C847" s="29">
        <v>123</v>
      </c>
      <c r="D847" s="29">
        <v>3.2764227642276422</v>
      </c>
      <c r="E847" s="29">
        <v>42.276422764227647</v>
      </c>
      <c r="F847" s="29">
        <v>71</v>
      </c>
      <c r="G847" s="29">
        <v>57.72357723577236</v>
      </c>
    </row>
    <row r="848" spans="1:7" x14ac:dyDescent="0.3">
      <c r="A848" s="28">
        <v>43101</v>
      </c>
      <c r="B848" s="29" t="s">
        <v>50</v>
      </c>
      <c r="C848" s="29">
        <v>31</v>
      </c>
      <c r="D848" s="29">
        <v>2.4516129032258065</v>
      </c>
      <c r="E848" s="29">
        <v>32.258064516129032</v>
      </c>
      <c r="F848" s="29">
        <v>21</v>
      </c>
      <c r="G848" s="29">
        <v>67.741935483870961</v>
      </c>
    </row>
    <row r="849" spans="1:7" x14ac:dyDescent="0.3">
      <c r="A849" s="28">
        <v>43101</v>
      </c>
      <c r="B849" s="29" t="s">
        <v>51</v>
      </c>
      <c r="C849" s="29">
        <v>144</v>
      </c>
      <c r="D849" s="29">
        <v>3.4861111111111112</v>
      </c>
      <c r="E849" s="29">
        <v>44.444444444444443</v>
      </c>
      <c r="F849" s="29">
        <v>80</v>
      </c>
      <c r="G849" s="29">
        <v>55.555555555555557</v>
      </c>
    </row>
    <row r="850" spans="1:7" x14ac:dyDescent="0.3">
      <c r="A850" s="26">
        <v>43101</v>
      </c>
      <c r="B850" s="27" t="s">
        <v>52</v>
      </c>
      <c r="C850" s="27">
        <v>246</v>
      </c>
      <c r="D850" s="27">
        <v>3.3130081300813008</v>
      </c>
      <c r="E850" s="27">
        <v>45.528455284552841</v>
      </c>
      <c r="F850" s="27">
        <v>134</v>
      </c>
      <c r="G850" s="27">
        <v>54.471544715447152</v>
      </c>
    </row>
    <row r="851" spans="1:7" x14ac:dyDescent="0.3">
      <c r="A851" s="28">
        <v>43101</v>
      </c>
      <c r="B851" s="29" t="s">
        <v>53</v>
      </c>
      <c r="C851" s="29">
        <v>212</v>
      </c>
      <c r="D851" s="29">
        <v>3.3962264150943398</v>
      </c>
      <c r="E851" s="29">
        <v>41.981132075471699</v>
      </c>
      <c r="F851" s="29">
        <v>123</v>
      </c>
      <c r="G851" s="29">
        <v>58.018867924528308</v>
      </c>
    </row>
    <row r="852" spans="1:7" x14ac:dyDescent="0.3">
      <c r="A852" s="26">
        <v>43101</v>
      </c>
      <c r="B852" s="27" t="s">
        <v>54</v>
      </c>
      <c r="C852" s="27">
        <v>276</v>
      </c>
      <c r="D852" s="27">
        <v>3.6086956521739131</v>
      </c>
      <c r="E852" s="27">
        <v>45.652173913043477</v>
      </c>
      <c r="F852" s="27">
        <v>150</v>
      </c>
      <c r="G852" s="27">
        <v>54.347826086956516</v>
      </c>
    </row>
    <row r="853" spans="1:7" x14ac:dyDescent="0.3">
      <c r="A853" s="26">
        <v>43101</v>
      </c>
      <c r="B853" s="27" t="s">
        <v>55</v>
      </c>
      <c r="C853" s="27">
        <v>610</v>
      </c>
      <c r="D853" s="27">
        <v>3.5311475409836066</v>
      </c>
      <c r="E853" s="27">
        <v>45.409836065573771</v>
      </c>
      <c r="F853" s="27">
        <v>333</v>
      </c>
      <c r="G853" s="27">
        <v>54.590163934426229</v>
      </c>
    </row>
    <row r="854" spans="1:7" x14ac:dyDescent="0.3">
      <c r="A854" s="28">
        <v>43101</v>
      </c>
      <c r="B854" s="29" t="s">
        <v>56</v>
      </c>
      <c r="C854" s="29">
        <v>378</v>
      </c>
      <c r="D854" s="29">
        <v>3.5925925925925926</v>
      </c>
      <c r="E854" s="29">
        <v>43.12169312169312</v>
      </c>
      <c r="F854" s="29">
        <v>215</v>
      </c>
      <c r="G854" s="29">
        <v>56.878306878306887</v>
      </c>
    </row>
  </sheetData>
  <conditionalFormatting sqref="E1403:E1048576 E1:E854">
    <cfRule type="cellIs" dxfId="12" priority="1" operator="greaterThan">
      <formula>90</formula>
    </cfRule>
    <cfRule type="cellIs" dxfId="11" priority="2" operator="between">
      <formula>80</formula>
      <formula>90</formula>
    </cfRule>
    <cfRule type="cellIs" dxfId="10" priority="3" operator="lessThan">
      <formula>80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HighlightExceptions">
                <anchor moveWithCells="1" sizeWithCells="1">
                  <from>
                    <xdr:col>8</xdr:col>
                    <xdr:colOff>45720</xdr:colOff>
                    <xdr:row>1</xdr:row>
                    <xdr:rowOff>121920</xdr:rowOff>
                  </from>
                  <to>
                    <xdr:col>9</xdr:col>
                    <xdr:colOff>769620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69672-D00F-4165-9381-57D472C6B502}">
  <sheetPr codeName="Sheet3"/>
  <dimension ref="A3:M9"/>
  <sheetViews>
    <sheetView zoomScale="65" workbookViewId="0">
      <selection activeCell="A3" sqref="A3"/>
    </sheetView>
  </sheetViews>
  <sheetFormatPr defaultRowHeight="14.4" x14ac:dyDescent="0.3"/>
  <cols>
    <col min="1" max="1" width="14.109375" bestFit="1" customWidth="1"/>
    <col min="2" max="2" width="18.5546875" bestFit="1" customWidth="1"/>
    <col min="3" max="3" width="24.88671875" bestFit="1" customWidth="1"/>
    <col min="4" max="4" width="18.88671875" bestFit="1" customWidth="1"/>
    <col min="5" max="5" width="18.5546875" bestFit="1" customWidth="1"/>
    <col min="6" max="6" width="24.88671875" bestFit="1" customWidth="1"/>
    <col min="7" max="7" width="18.88671875" bestFit="1" customWidth="1"/>
    <col min="8" max="8" width="18.5546875" bestFit="1" customWidth="1"/>
    <col min="9" max="9" width="24.88671875" bestFit="1" customWidth="1"/>
    <col min="10" max="10" width="18.88671875" bestFit="1" customWidth="1"/>
    <col min="11" max="11" width="23.5546875" bestFit="1" customWidth="1"/>
    <col min="12" max="12" width="29.88671875" bestFit="1" customWidth="1"/>
    <col min="13" max="13" width="23.88671875" bestFit="1" customWidth="1"/>
    <col min="14" max="14" width="18" bestFit="1" customWidth="1"/>
    <col min="15" max="15" width="24.21875" bestFit="1" customWidth="1"/>
    <col min="16" max="16" width="18.44140625" bestFit="1" customWidth="1"/>
    <col min="17" max="17" width="18" bestFit="1" customWidth="1"/>
    <col min="18" max="18" width="24.21875" bestFit="1" customWidth="1"/>
    <col min="19" max="19" width="18.44140625" bestFit="1" customWidth="1"/>
    <col min="20" max="20" width="18" bestFit="1" customWidth="1"/>
    <col min="21" max="21" width="24.21875" bestFit="1" customWidth="1"/>
    <col min="22" max="22" width="18.44140625" bestFit="1" customWidth="1"/>
    <col min="23" max="23" width="18" bestFit="1" customWidth="1"/>
    <col min="24" max="24" width="24.21875" bestFit="1" customWidth="1"/>
    <col min="25" max="25" width="18.44140625" bestFit="1" customWidth="1"/>
    <col min="26" max="26" width="18" bestFit="1" customWidth="1"/>
    <col min="27" max="27" width="24.21875" bestFit="1" customWidth="1"/>
    <col min="28" max="28" width="18.44140625" bestFit="1" customWidth="1"/>
    <col min="29" max="29" width="18" bestFit="1" customWidth="1"/>
    <col min="30" max="30" width="24.21875" bestFit="1" customWidth="1"/>
    <col min="31" max="31" width="18.44140625" bestFit="1" customWidth="1"/>
    <col min="32" max="32" width="18" bestFit="1" customWidth="1"/>
    <col min="33" max="33" width="24.21875" bestFit="1" customWidth="1"/>
    <col min="34" max="34" width="18.44140625" bestFit="1" customWidth="1"/>
    <col min="35" max="35" width="18" bestFit="1" customWidth="1"/>
    <col min="36" max="36" width="24.21875" bestFit="1" customWidth="1"/>
    <col min="37" max="37" width="18.44140625" bestFit="1" customWidth="1"/>
    <col min="38" max="38" width="18" bestFit="1" customWidth="1"/>
    <col min="39" max="39" width="24.21875" bestFit="1" customWidth="1"/>
    <col min="40" max="40" width="18.44140625" bestFit="1" customWidth="1"/>
    <col min="41" max="41" width="18" bestFit="1" customWidth="1"/>
    <col min="42" max="42" width="24.21875" bestFit="1" customWidth="1"/>
    <col min="43" max="43" width="18.44140625" bestFit="1" customWidth="1"/>
    <col min="44" max="44" width="19.21875" bestFit="1" customWidth="1"/>
    <col min="45" max="45" width="24.21875" bestFit="1" customWidth="1"/>
    <col min="46" max="46" width="18.44140625" bestFit="1" customWidth="1"/>
    <col min="47" max="47" width="18" bestFit="1" customWidth="1"/>
    <col min="48" max="48" width="24.21875" bestFit="1" customWidth="1"/>
    <col min="49" max="49" width="18.44140625" bestFit="1" customWidth="1"/>
    <col min="50" max="50" width="18" bestFit="1" customWidth="1"/>
    <col min="51" max="51" width="24.21875" bestFit="1" customWidth="1"/>
    <col min="52" max="52" width="18.44140625" bestFit="1" customWidth="1"/>
    <col min="53" max="53" width="18" bestFit="1" customWidth="1"/>
    <col min="54" max="54" width="24.21875" bestFit="1" customWidth="1"/>
    <col min="55" max="55" width="18.44140625" bestFit="1" customWidth="1"/>
    <col min="56" max="56" width="18" bestFit="1" customWidth="1"/>
    <col min="57" max="57" width="24.21875" bestFit="1" customWidth="1"/>
    <col min="58" max="58" width="18.44140625" bestFit="1" customWidth="1"/>
    <col min="59" max="59" width="18" bestFit="1" customWidth="1"/>
    <col min="60" max="60" width="24.21875" bestFit="1" customWidth="1"/>
    <col min="61" max="61" width="18.44140625" bestFit="1" customWidth="1"/>
    <col min="62" max="62" width="18" bestFit="1" customWidth="1"/>
    <col min="63" max="63" width="24.21875" bestFit="1" customWidth="1"/>
    <col min="64" max="64" width="18.44140625" bestFit="1" customWidth="1"/>
    <col min="65" max="65" width="18" bestFit="1" customWidth="1"/>
    <col min="66" max="66" width="24.21875" bestFit="1" customWidth="1"/>
    <col min="67" max="67" width="18.44140625" bestFit="1" customWidth="1"/>
    <col min="68" max="68" width="18" bestFit="1" customWidth="1"/>
    <col min="69" max="69" width="24.21875" bestFit="1" customWidth="1"/>
    <col min="70" max="70" width="18.44140625" bestFit="1" customWidth="1"/>
    <col min="71" max="71" width="18" bestFit="1" customWidth="1"/>
    <col min="72" max="72" width="24.21875" bestFit="1" customWidth="1"/>
    <col min="73" max="73" width="18.44140625" bestFit="1" customWidth="1"/>
    <col min="74" max="74" width="18" bestFit="1" customWidth="1"/>
    <col min="75" max="75" width="24.21875" bestFit="1" customWidth="1"/>
    <col min="76" max="76" width="18.44140625" bestFit="1" customWidth="1"/>
    <col min="77" max="77" width="18" bestFit="1" customWidth="1"/>
    <col min="78" max="78" width="24.21875" bestFit="1" customWidth="1"/>
    <col min="79" max="79" width="18.44140625" bestFit="1" customWidth="1"/>
    <col min="80" max="80" width="18" bestFit="1" customWidth="1"/>
    <col min="81" max="81" width="24.21875" bestFit="1" customWidth="1"/>
    <col min="82" max="82" width="18.44140625" bestFit="1" customWidth="1"/>
    <col min="83" max="83" width="18" bestFit="1" customWidth="1"/>
    <col min="84" max="84" width="24.21875" bestFit="1" customWidth="1"/>
    <col min="85" max="85" width="18.44140625" bestFit="1" customWidth="1"/>
    <col min="86" max="86" width="18" bestFit="1" customWidth="1"/>
    <col min="87" max="87" width="24.21875" bestFit="1" customWidth="1"/>
    <col min="88" max="88" width="18.44140625" bestFit="1" customWidth="1"/>
    <col min="89" max="89" width="18" bestFit="1" customWidth="1"/>
    <col min="90" max="90" width="24.21875" bestFit="1" customWidth="1"/>
    <col min="91" max="91" width="18.44140625" bestFit="1" customWidth="1"/>
    <col min="92" max="92" width="21" bestFit="1" customWidth="1"/>
    <col min="93" max="93" width="24.21875" bestFit="1" customWidth="1"/>
    <col min="94" max="94" width="18.44140625" bestFit="1" customWidth="1"/>
    <col min="95" max="95" width="18" bestFit="1" customWidth="1"/>
    <col min="96" max="96" width="24.21875" bestFit="1" customWidth="1"/>
    <col min="97" max="97" width="18.44140625" bestFit="1" customWidth="1"/>
    <col min="98" max="98" width="18" bestFit="1" customWidth="1"/>
    <col min="99" max="99" width="24.21875" bestFit="1" customWidth="1"/>
    <col min="100" max="100" width="18.44140625" bestFit="1" customWidth="1"/>
    <col min="101" max="101" width="18" bestFit="1" customWidth="1"/>
    <col min="102" max="102" width="24.21875" bestFit="1" customWidth="1"/>
    <col min="103" max="103" width="18.44140625" bestFit="1" customWidth="1"/>
    <col min="104" max="104" width="18" bestFit="1" customWidth="1"/>
    <col min="105" max="105" width="24.21875" bestFit="1" customWidth="1"/>
    <col min="106" max="106" width="18.44140625" bestFit="1" customWidth="1"/>
    <col min="107" max="107" width="18" bestFit="1" customWidth="1"/>
    <col min="108" max="108" width="24.21875" bestFit="1" customWidth="1"/>
    <col min="109" max="109" width="18.44140625" bestFit="1" customWidth="1"/>
    <col min="110" max="110" width="18" bestFit="1" customWidth="1"/>
    <col min="111" max="111" width="24.21875" bestFit="1" customWidth="1"/>
    <col min="112" max="112" width="18.44140625" bestFit="1" customWidth="1"/>
    <col min="113" max="113" width="18" bestFit="1" customWidth="1"/>
    <col min="114" max="114" width="24.21875" bestFit="1" customWidth="1"/>
    <col min="115" max="115" width="18.44140625" bestFit="1" customWidth="1"/>
    <col min="116" max="116" width="18" bestFit="1" customWidth="1"/>
    <col min="117" max="117" width="24.21875" bestFit="1" customWidth="1"/>
    <col min="118" max="118" width="18.44140625" bestFit="1" customWidth="1"/>
    <col min="119" max="119" width="18" bestFit="1" customWidth="1"/>
    <col min="120" max="120" width="24.21875" bestFit="1" customWidth="1"/>
    <col min="121" max="121" width="18.44140625" bestFit="1" customWidth="1"/>
    <col min="122" max="122" width="18" bestFit="1" customWidth="1"/>
    <col min="123" max="123" width="24.21875" bestFit="1" customWidth="1"/>
    <col min="124" max="124" width="18.44140625" bestFit="1" customWidth="1"/>
    <col min="125" max="125" width="18" bestFit="1" customWidth="1"/>
    <col min="126" max="126" width="24.21875" bestFit="1" customWidth="1"/>
    <col min="127" max="127" width="18.44140625" bestFit="1" customWidth="1"/>
    <col min="128" max="128" width="18" bestFit="1" customWidth="1"/>
    <col min="129" max="129" width="24.21875" bestFit="1" customWidth="1"/>
    <col min="130" max="130" width="18.44140625" bestFit="1" customWidth="1"/>
    <col min="131" max="131" width="18" bestFit="1" customWidth="1"/>
    <col min="132" max="132" width="24.21875" bestFit="1" customWidth="1"/>
    <col min="133" max="133" width="18.44140625" bestFit="1" customWidth="1"/>
    <col min="134" max="134" width="18" bestFit="1" customWidth="1"/>
    <col min="135" max="135" width="24.21875" bestFit="1" customWidth="1"/>
    <col min="136" max="136" width="18.44140625" bestFit="1" customWidth="1"/>
    <col min="137" max="137" width="18" bestFit="1" customWidth="1"/>
    <col min="138" max="138" width="24.21875" bestFit="1" customWidth="1"/>
    <col min="139" max="139" width="18.44140625" bestFit="1" customWidth="1"/>
    <col min="140" max="140" width="18" bestFit="1" customWidth="1"/>
    <col min="141" max="141" width="24.21875" bestFit="1" customWidth="1"/>
    <col min="142" max="142" width="18.44140625" bestFit="1" customWidth="1"/>
    <col min="143" max="143" width="18" bestFit="1" customWidth="1"/>
    <col min="144" max="144" width="24.21875" bestFit="1" customWidth="1"/>
    <col min="145" max="145" width="18.44140625" bestFit="1" customWidth="1"/>
    <col min="146" max="146" width="18" bestFit="1" customWidth="1"/>
    <col min="147" max="147" width="24.21875" bestFit="1" customWidth="1"/>
    <col min="148" max="148" width="18.44140625" bestFit="1" customWidth="1"/>
    <col min="149" max="149" width="18" bestFit="1" customWidth="1"/>
    <col min="150" max="150" width="24.21875" bestFit="1" customWidth="1"/>
    <col min="151" max="151" width="18.44140625" bestFit="1" customWidth="1"/>
    <col min="152" max="152" width="22.77734375" bestFit="1" customWidth="1"/>
    <col min="153" max="153" width="29" bestFit="1" customWidth="1"/>
    <col min="154" max="154" width="23.21875" bestFit="1" customWidth="1"/>
  </cols>
  <sheetData>
    <row r="3" spans="1:13" x14ac:dyDescent="0.3">
      <c r="B3" s="1" t="s">
        <v>70</v>
      </c>
    </row>
    <row r="4" spans="1:13" x14ac:dyDescent="0.3">
      <c r="B4" t="s">
        <v>12</v>
      </c>
      <c r="E4" t="s">
        <v>25</v>
      </c>
      <c r="H4" t="s">
        <v>30</v>
      </c>
      <c r="K4" t="s">
        <v>73</v>
      </c>
      <c r="L4" t="s">
        <v>75</v>
      </c>
      <c r="M4" t="s">
        <v>71</v>
      </c>
    </row>
    <row r="5" spans="1:13" x14ac:dyDescent="0.3">
      <c r="A5" s="1" t="s">
        <v>65</v>
      </c>
      <c r="B5" t="s">
        <v>74</v>
      </c>
      <c r="C5" t="s">
        <v>76</v>
      </c>
      <c r="D5" t="s">
        <v>72</v>
      </c>
      <c r="E5" t="s">
        <v>74</v>
      </c>
      <c r="F5" t="s">
        <v>76</v>
      </c>
      <c r="G5" t="s">
        <v>72</v>
      </c>
      <c r="H5" t="s">
        <v>74</v>
      </c>
      <c r="I5" t="s">
        <v>76</v>
      </c>
      <c r="J5" t="s">
        <v>72</v>
      </c>
    </row>
    <row r="6" spans="1:13" x14ac:dyDescent="0.3">
      <c r="A6" s="2" t="s">
        <v>67</v>
      </c>
      <c r="B6" s="20">
        <v>45.465601288199601</v>
      </c>
      <c r="C6" s="20">
        <v>3.4712006810920228</v>
      </c>
      <c r="D6" s="20">
        <v>8915</v>
      </c>
      <c r="E6" s="20">
        <v>45.399558302900807</v>
      </c>
      <c r="F6" s="20">
        <v>3.4658904816791067</v>
      </c>
      <c r="G6" s="20">
        <v>7932</v>
      </c>
      <c r="H6" s="20">
        <v>45.758273444165631</v>
      </c>
      <c r="I6" s="20">
        <v>3.4816784150168854</v>
      </c>
      <c r="J6" s="20">
        <v>7619</v>
      </c>
      <c r="K6" s="20">
        <v>45.541144345088675</v>
      </c>
      <c r="L6" s="20">
        <v>3.4729231925960042</v>
      </c>
      <c r="M6" s="20">
        <v>24466</v>
      </c>
    </row>
    <row r="7" spans="1:13" x14ac:dyDescent="0.3">
      <c r="A7" s="2" t="s">
        <v>68</v>
      </c>
      <c r="B7" s="20">
        <v>44.534181690726008</v>
      </c>
      <c r="C7" s="20">
        <v>3.5085889756667434</v>
      </c>
      <c r="D7" s="20">
        <v>8994</v>
      </c>
      <c r="E7" s="20">
        <v>45.230606561122336</v>
      </c>
      <c r="F7" s="20">
        <v>3.4861294908739962</v>
      </c>
      <c r="G7" s="20">
        <v>8188</v>
      </c>
      <c r="H7" s="20">
        <v>44.597268628928511</v>
      </c>
      <c r="I7" s="20">
        <v>3.4355844289269388</v>
      </c>
      <c r="J7" s="20">
        <v>7689</v>
      </c>
      <c r="K7" s="20">
        <v>44.787352293592285</v>
      </c>
      <c r="L7" s="20">
        <v>3.4767676318225593</v>
      </c>
      <c r="M7" s="20">
        <v>24871</v>
      </c>
    </row>
    <row r="8" spans="1:13" x14ac:dyDescent="0.3">
      <c r="A8" s="2" t="s">
        <v>69</v>
      </c>
      <c r="B8" s="20">
        <v>47.247145427687741</v>
      </c>
      <c r="C8" s="20">
        <v>3.4819042183563838</v>
      </c>
      <c r="D8" s="20">
        <v>6642</v>
      </c>
      <c r="E8" s="20">
        <v>47.36560631088453</v>
      </c>
      <c r="F8" s="20">
        <v>3.482503515049411</v>
      </c>
      <c r="G8" s="20">
        <v>6126</v>
      </c>
      <c r="H8" s="20">
        <v>46.608212044196989</v>
      </c>
      <c r="I8" s="20">
        <v>3.4651710236706506</v>
      </c>
      <c r="J8" s="20">
        <v>5727</v>
      </c>
      <c r="K8" s="20">
        <v>47.073654594256411</v>
      </c>
      <c r="L8" s="20">
        <v>3.4765262523588154</v>
      </c>
      <c r="M8" s="20">
        <v>18495</v>
      </c>
    </row>
    <row r="9" spans="1:13" x14ac:dyDescent="0.3">
      <c r="A9" s="2" t="s">
        <v>66</v>
      </c>
      <c r="B9" s="20">
        <v>45.660848530117192</v>
      </c>
      <c r="C9" s="20">
        <v>3.4875446489608537</v>
      </c>
      <c r="D9" s="20">
        <v>24551</v>
      </c>
      <c r="E9" s="20">
        <v>45.918177690503612</v>
      </c>
      <c r="F9" s="20">
        <v>3.4779198476803339</v>
      </c>
      <c r="G9" s="20">
        <v>22246</v>
      </c>
      <c r="H9" s="20">
        <v>45.598488979973503</v>
      </c>
      <c r="I9" s="20">
        <v>3.4605548342362473</v>
      </c>
      <c r="J9" s="20">
        <v>21035</v>
      </c>
      <c r="K9" s="20">
        <v>45.725838400198114</v>
      </c>
      <c r="L9" s="20">
        <v>3.4753397769591445</v>
      </c>
      <c r="M9" s="20">
        <v>67832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59A40-53CD-4A99-823F-BE14F1B7427C}">
  <sheetPr codeName="Sheet5"/>
  <dimension ref="A1:B38"/>
  <sheetViews>
    <sheetView workbookViewId="0">
      <selection sqref="A1:B38"/>
    </sheetView>
  </sheetViews>
  <sheetFormatPr defaultRowHeight="14.4" x14ac:dyDescent="0.3"/>
  <cols>
    <col min="1" max="1" width="10.33203125" bestFit="1" customWidth="1"/>
    <col min="2" max="2" width="20" bestFit="1" customWidth="1"/>
  </cols>
  <sheetData>
    <row r="1" spans="1:2" x14ac:dyDescent="0.3">
      <c r="A1" t="s">
        <v>0</v>
      </c>
      <c r="B1" t="s">
        <v>86</v>
      </c>
    </row>
    <row r="2" spans="1:2" x14ac:dyDescent="0.3">
      <c r="A2" s="4">
        <v>42005</v>
      </c>
      <c r="B2">
        <v>9.9210822998872601</v>
      </c>
    </row>
    <row r="3" spans="1:2" x14ac:dyDescent="0.3">
      <c r="A3" s="4">
        <v>42036</v>
      </c>
      <c r="B3">
        <v>10.615352082892789</v>
      </c>
    </row>
    <row r="4" spans="1:2" x14ac:dyDescent="0.3">
      <c r="A4" s="4">
        <v>42064</v>
      </c>
      <c r="B4">
        <v>10.910108168593808</v>
      </c>
    </row>
    <row r="5" spans="1:2" x14ac:dyDescent="0.3">
      <c r="A5" s="4">
        <v>42095</v>
      </c>
      <c r="B5">
        <v>12.426843542723372</v>
      </c>
    </row>
    <row r="6" spans="1:2" x14ac:dyDescent="0.3">
      <c r="A6" s="4">
        <v>42125</v>
      </c>
      <c r="B6">
        <v>11.032294194511854</v>
      </c>
    </row>
    <row r="7" spans="1:2" x14ac:dyDescent="0.3">
      <c r="A7" s="4">
        <v>42156</v>
      </c>
      <c r="B7">
        <v>10.303856641994546</v>
      </c>
    </row>
    <row r="8" spans="1:2" x14ac:dyDescent="0.3">
      <c r="A8" s="4">
        <v>42186</v>
      </c>
      <c r="B8">
        <v>10.152859030005661</v>
      </c>
    </row>
    <row r="9" spans="1:2" x14ac:dyDescent="0.3">
      <c r="A9" s="4">
        <v>42217</v>
      </c>
      <c r="B9">
        <v>11.701118907642707</v>
      </c>
    </row>
    <row r="10" spans="1:2" x14ac:dyDescent="0.3">
      <c r="A10" s="4">
        <v>42248</v>
      </c>
      <c r="B10">
        <v>11.439688715953308</v>
      </c>
    </row>
    <row r="11" spans="1:2" x14ac:dyDescent="0.3">
      <c r="A11" s="4">
        <v>42278</v>
      </c>
      <c r="B11">
        <v>10.033949453036591</v>
      </c>
    </row>
    <row r="12" spans="1:2" x14ac:dyDescent="0.3">
      <c r="A12" s="4">
        <v>42309</v>
      </c>
      <c r="B12">
        <v>10.391595033428844</v>
      </c>
    </row>
    <row r="13" spans="1:2" x14ac:dyDescent="0.3">
      <c r="A13" s="4">
        <v>42339</v>
      </c>
      <c r="B13">
        <v>10.035375162911935</v>
      </c>
    </row>
    <row r="14" spans="1:2" x14ac:dyDescent="0.3">
      <c r="A14" s="4">
        <v>42370</v>
      </c>
      <c r="B14">
        <v>11.265751363550875</v>
      </c>
    </row>
    <row r="15" spans="1:2" x14ac:dyDescent="0.3">
      <c r="A15" s="4">
        <v>42401</v>
      </c>
      <c r="B15">
        <v>10.993052717613404</v>
      </c>
    </row>
    <row r="16" spans="1:2" x14ac:dyDescent="0.3">
      <c r="A16" s="4">
        <v>42430</v>
      </c>
      <c r="B16">
        <v>10.978886756238005</v>
      </c>
    </row>
    <row r="17" spans="1:2" x14ac:dyDescent="0.3">
      <c r="A17" s="4">
        <v>42461</v>
      </c>
      <c r="B17">
        <v>10.594467333725721</v>
      </c>
    </row>
    <row r="18" spans="1:2" x14ac:dyDescent="0.3">
      <c r="A18" s="4">
        <v>42491</v>
      </c>
      <c r="B18">
        <v>11.561674839683137</v>
      </c>
    </row>
    <row r="19" spans="1:2" x14ac:dyDescent="0.3">
      <c r="A19" s="4">
        <v>42522</v>
      </c>
      <c r="B19">
        <v>10.78353779184804</v>
      </c>
    </row>
    <row r="20" spans="1:2" x14ac:dyDescent="0.3">
      <c r="A20" s="4">
        <v>42552</v>
      </c>
      <c r="B20">
        <v>12.780395852968898</v>
      </c>
    </row>
    <row r="21" spans="1:2" x14ac:dyDescent="0.3">
      <c r="A21" s="4">
        <v>42583</v>
      </c>
      <c r="B21">
        <v>9.5800524934383215</v>
      </c>
    </row>
    <row r="22" spans="1:2" x14ac:dyDescent="0.3">
      <c r="A22" s="4">
        <v>42614</v>
      </c>
      <c r="B22">
        <v>10.406976744186046</v>
      </c>
    </row>
    <row r="23" spans="1:2" x14ac:dyDescent="0.3">
      <c r="A23" s="4">
        <v>42644</v>
      </c>
      <c r="B23">
        <v>9.929603556872916</v>
      </c>
    </row>
    <row r="24" spans="1:2" x14ac:dyDescent="0.3">
      <c r="A24" s="4">
        <v>42675</v>
      </c>
      <c r="B24">
        <v>12.034548944337812</v>
      </c>
    </row>
    <row r="25" spans="1:2" x14ac:dyDescent="0.3">
      <c r="A25" s="4">
        <v>42705</v>
      </c>
      <c r="B25">
        <v>9.7551717593471245</v>
      </c>
    </row>
    <row r="26" spans="1:2" x14ac:dyDescent="0.3">
      <c r="A26" s="4">
        <v>42736</v>
      </c>
      <c r="B26">
        <v>10.25493578685068</v>
      </c>
    </row>
    <row r="27" spans="1:2" x14ac:dyDescent="0.3">
      <c r="A27" s="4">
        <v>42767</v>
      </c>
      <c r="B27">
        <v>10.640032613126783</v>
      </c>
    </row>
    <row r="28" spans="1:2" x14ac:dyDescent="0.3">
      <c r="A28" s="4">
        <v>42795</v>
      </c>
      <c r="B28">
        <v>11.464372545352534</v>
      </c>
    </row>
    <row r="29" spans="1:2" x14ac:dyDescent="0.3">
      <c r="A29" s="4">
        <v>42826</v>
      </c>
      <c r="B29">
        <v>9.5740598618572523</v>
      </c>
    </row>
    <row r="30" spans="1:2" x14ac:dyDescent="0.3">
      <c r="A30" s="4">
        <v>42856</v>
      </c>
      <c r="B30">
        <v>11.058867782584164</v>
      </c>
    </row>
    <row r="31" spans="1:2" x14ac:dyDescent="0.3">
      <c r="A31" s="4">
        <v>42887</v>
      </c>
      <c r="B31">
        <v>11.007877196525955</v>
      </c>
    </row>
    <row r="32" spans="1:2" x14ac:dyDescent="0.3">
      <c r="A32" s="4">
        <v>42917</v>
      </c>
      <c r="B32">
        <v>12.091011658518241</v>
      </c>
    </row>
    <row r="33" spans="1:2" x14ac:dyDescent="0.3">
      <c r="A33" s="4">
        <v>42948</v>
      </c>
      <c r="B33">
        <v>10.141376060320452</v>
      </c>
    </row>
    <row r="34" spans="1:2" x14ac:dyDescent="0.3">
      <c r="A34" s="4">
        <v>42979</v>
      </c>
      <c r="B34">
        <v>10.11755636924263</v>
      </c>
    </row>
    <row r="35" spans="1:2" x14ac:dyDescent="0.3">
      <c r="A35" s="4">
        <v>43009</v>
      </c>
      <c r="B35">
        <v>9.8891352549889131</v>
      </c>
    </row>
    <row r="36" spans="1:2" x14ac:dyDescent="0.3">
      <c r="A36" s="4">
        <v>43040</v>
      </c>
      <c r="B36">
        <v>10.170316301703162</v>
      </c>
    </row>
    <row r="37" spans="1:2" x14ac:dyDescent="0.3">
      <c r="A37" s="4">
        <v>43070</v>
      </c>
      <c r="B37">
        <v>11.016949152542372</v>
      </c>
    </row>
    <row r="38" spans="1:2" x14ac:dyDescent="0.3">
      <c r="A38" s="4">
        <v>43101</v>
      </c>
      <c r="B38">
        <v>11.163447951012719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13B29-87F8-4C80-8168-C0E903F3E98D}">
  <sheetPr codeName="Sheet6"/>
  <dimension ref="A1:E37"/>
  <sheetViews>
    <sheetView topLeftCell="A16" workbookViewId="0">
      <selection activeCell="B3" sqref="B3"/>
    </sheetView>
  </sheetViews>
  <sheetFormatPr defaultRowHeight="14.4" x14ac:dyDescent="0.3"/>
  <cols>
    <col min="1" max="1" width="18" bestFit="1" customWidth="1"/>
    <col min="2" max="2" width="15.5546875" bestFit="1" customWidth="1"/>
    <col min="3" max="3" width="14.5546875" bestFit="1" customWidth="1"/>
    <col min="4" max="4" width="16" bestFit="1" customWidth="1"/>
    <col min="5" max="7" width="12" bestFit="1" customWidth="1"/>
    <col min="8" max="8" width="13.88671875" bestFit="1" customWidth="1"/>
    <col min="9" max="9" width="12" bestFit="1" customWidth="1"/>
    <col min="10" max="10" width="16.109375" bestFit="1" customWidth="1"/>
    <col min="11" max="11" width="16.21875" bestFit="1" customWidth="1"/>
    <col min="12" max="12" width="12" bestFit="1" customWidth="1"/>
    <col min="13" max="13" width="16.77734375" bestFit="1" customWidth="1"/>
    <col min="14" max="15" width="12" bestFit="1" customWidth="1"/>
    <col min="16" max="16" width="19.21875" bestFit="1" customWidth="1"/>
    <col min="17" max="20" width="12" bestFit="1" customWidth="1"/>
    <col min="21" max="21" width="16.77734375" bestFit="1" customWidth="1"/>
    <col min="22" max="24" width="12" bestFit="1" customWidth="1"/>
    <col min="25" max="25" width="15.44140625" bestFit="1" customWidth="1"/>
    <col min="26" max="28" width="12" bestFit="1" customWidth="1"/>
    <col min="29" max="29" width="16.5546875" bestFit="1" customWidth="1"/>
    <col min="30" max="30" width="12" bestFit="1" customWidth="1"/>
    <col min="31" max="31" width="17.77734375" bestFit="1" customWidth="1"/>
    <col min="32" max="32" width="21" bestFit="1" customWidth="1"/>
    <col min="33" max="33" width="13.88671875" bestFit="1" customWidth="1"/>
    <col min="34" max="34" width="12" bestFit="1" customWidth="1"/>
    <col min="35" max="35" width="13.6640625" bestFit="1" customWidth="1"/>
    <col min="36" max="36" width="14.5546875" bestFit="1" customWidth="1"/>
    <col min="37" max="37" width="15.109375" bestFit="1" customWidth="1"/>
    <col min="38" max="39" width="12" bestFit="1" customWidth="1"/>
    <col min="40" max="40" width="12.88671875" bestFit="1" customWidth="1"/>
    <col min="41" max="41" width="12" bestFit="1" customWidth="1"/>
    <col min="42" max="42" width="14" bestFit="1" customWidth="1"/>
    <col min="43" max="43" width="15.5546875" bestFit="1" customWidth="1"/>
    <col min="44" max="44" width="15.77734375" bestFit="1" customWidth="1"/>
    <col min="45" max="48" width="12" bestFit="1" customWidth="1"/>
    <col min="49" max="49" width="16" bestFit="1" customWidth="1"/>
    <col min="50" max="50" width="16.44140625" bestFit="1" customWidth="1"/>
    <col min="51" max="51" width="18" bestFit="1" customWidth="1"/>
    <col min="52" max="52" width="12" bestFit="1" customWidth="1"/>
  </cols>
  <sheetData>
    <row r="1" spans="1:5" x14ac:dyDescent="0.3">
      <c r="A1" s="1" t="s">
        <v>74</v>
      </c>
      <c r="B1" s="1" t="s">
        <v>70</v>
      </c>
    </row>
    <row r="2" spans="1:5" x14ac:dyDescent="0.3">
      <c r="A2" s="1" t="s">
        <v>65</v>
      </c>
      <c r="B2" t="s">
        <v>12</v>
      </c>
      <c r="C2" t="s">
        <v>25</v>
      </c>
      <c r="D2" t="s">
        <v>30</v>
      </c>
      <c r="E2" t="s">
        <v>66</v>
      </c>
    </row>
    <row r="3" spans="1:5" x14ac:dyDescent="0.3">
      <c r="A3" s="24">
        <v>42005</v>
      </c>
      <c r="B3" s="20">
        <v>45.885286783042396</v>
      </c>
      <c r="C3" s="20">
        <v>51.935483870967744</v>
      </c>
      <c r="D3" s="20">
        <v>45.933014354066984</v>
      </c>
      <c r="E3" s="20">
        <v>47.91792833602571</v>
      </c>
    </row>
    <row r="4" spans="1:5" x14ac:dyDescent="0.3">
      <c r="A4" s="24">
        <v>42036</v>
      </c>
      <c r="B4" s="20">
        <v>45.909090909090914</v>
      </c>
      <c r="C4" s="20">
        <v>43.613707165109034</v>
      </c>
      <c r="D4" s="20">
        <v>47.610921501706486</v>
      </c>
      <c r="E4" s="20">
        <v>45.71123985863548</v>
      </c>
    </row>
    <row r="5" spans="1:5" x14ac:dyDescent="0.3">
      <c r="A5" s="24">
        <v>42064</v>
      </c>
      <c r="B5" s="20">
        <v>43.725743855109961</v>
      </c>
      <c r="C5" s="20">
        <v>44.983818770226534</v>
      </c>
      <c r="D5" s="20">
        <v>44.060150375939848</v>
      </c>
      <c r="E5" s="20">
        <v>44.256571000425453</v>
      </c>
    </row>
    <row r="6" spans="1:5" x14ac:dyDescent="0.3">
      <c r="A6" s="24">
        <v>42095</v>
      </c>
      <c r="B6" s="20">
        <v>48.484848484848484</v>
      </c>
      <c r="C6" s="20">
        <v>45.788667687595712</v>
      </c>
      <c r="D6" s="20">
        <v>46.374622356495472</v>
      </c>
      <c r="E6" s="20">
        <v>46.882712842979892</v>
      </c>
    </row>
    <row r="7" spans="1:5" x14ac:dyDescent="0.3">
      <c r="A7" s="24">
        <v>42125</v>
      </c>
      <c r="B7" s="20">
        <v>46.533333333333331</v>
      </c>
      <c r="C7" s="20">
        <v>46.273291925465834</v>
      </c>
      <c r="D7" s="20">
        <v>42.372881355932201</v>
      </c>
      <c r="E7" s="20">
        <v>45.059835538243789</v>
      </c>
    </row>
    <row r="8" spans="1:5" x14ac:dyDescent="0.3">
      <c r="A8" s="24">
        <v>42156</v>
      </c>
      <c r="B8" s="20">
        <v>46.260387811634352</v>
      </c>
      <c r="C8" s="20">
        <v>44.74474474474475</v>
      </c>
      <c r="D8" s="20">
        <v>46.192893401015226</v>
      </c>
      <c r="E8" s="20">
        <v>45.732675319131438</v>
      </c>
    </row>
    <row r="9" spans="1:5" x14ac:dyDescent="0.3">
      <c r="A9" s="24">
        <v>42186</v>
      </c>
      <c r="B9" s="20">
        <v>46.390374331550802</v>
      </c>
      <c r="C9" s="20">
        <v>44.728915662650607</v>
      </c>
      <c r="D9" s="20">
        <v>46.704871060171918</v>
      </c>
      <c r="E9" s="20">
        <v>45.941387018124438</v>
      </c>
    </row>
    <row r="10" spans="1:5" x14ac:dyDescent="0.3">
      <c r="A10" s="24">
        <v>42217</v>
      </c>
      <c r="B10" s="20">
        <v>44.694132334581774</v>
      </c>
      <c r="C10" s="20">
        <v>43.02325581395349</v>
      </c>
      <c r="D10" s="20">
        <v>44.796380090497742</v>
      </c>
      <c r="E10" s="20">
        <v>44.171256079677669</v>
      </c>
    </row>
    <row r="11" spans="1:5" x14ac:dyDescent="0.3">
      <c r="A11" s="24">
        <v>42248</v>
      </c>
      <c r="B11" s="20">
        <v>42.561983471074385</v>
      </c>
      <c r="C11" s="20">
        <v>41.150442477876105</v>
      </c>
      <c r="D11" s="20">
        <v>46.214511041009466</v>
      </c>
      <c r="E11" s="20">
        <v>43.308978996653316</v>
      </c>
    </row>
    <row r="12" spans="1:5" x14ac:dyDescent="0.3">
      <c r="A12" s="24">
        <v>42278</v>
      </c>
      <c r="B12" s="20">
        <v>46.038251366120221</v>
      </c>
      <c r="C12" s="20">
        <v>47.119645494830131</v>
      </c>
      <c r="D12" s="20">
        <v>45.176110260336905</v>
      </c>
      <c r="E12" s="20">
        <v>46.111335707095755</v>
      </c>
    </row>
    <row r="13" spans="1:5" x14ac:dyDescent="0.3">
      <c r="A13" s="24">
        <v>42309</v>
      </c>
      <c r="B13" s="20">
        <v>46.1118690313779</v>
      </c>
      <c r="C13" s="20">
        <v>47.049924357034797</v>
      </c>
      <c r="D13" s="20">
        <v>49.656357388316152</v>
      </c>
      <c r="E13" s="20">
        <v>47.606050258909612</v>
      </c>
    </row>
    <row r="14" spans="1:5" x14ac:dyDescent="0.3">
      <c r="A14" s="24">
        <v>42339</v>
      </c>
      <c r="B14" s="20">
        <v>42.991913746630729</v>
      </c>
      <c r="C14" s="20">
        <v>44.382801664355064</v>
      </c>
      <c r="D14" s="20">
        <v>44.006568144499184</v>
      </c>
      <c r="E14" s="20">
        <v>43.793761185161657</v>
      </c>
    </row>
    <row r="15" spans="1:5" x14ac:dyDescent="0.3">
      <c r="A15" s="24">
        <v>42370</v>
      </c>
      <c r="B15" s="20">
        <v>44.385026737967912</v>
      </c>
      <c r="C15" s="20">
        <v>48.755490483162518</v>
      </c>
      <c r="D15" s="20">
        <v>43.839541547277939</v>
      </c>
      <c r="E15" s="20">
        <v>45.660019589469464</v>
      </c>
    </row>
    <row r="16" spans="1:5" x14ac:dyDescent="0.3">
      <c r="A16" s="24">
        <v>42401</v>
      </c>
      <c r="B16" s="20">
        <v>44.658753709198812</v>
      </c>
      <c r="C16" s="20">
        <v>45.826771653543311</v>
      </c>
      <c r="D16" s="20">
        <v>43.739279588336196</v>
      </c>
      <c r="E16" s="20">
        <v>44.741601650359435</v>
      </c>
    </row>
    <row r="17" spans="1:5" x14ac:dyDescent="0.3">
      <c r="A17" s="24">
        <v>42430</v>
      </c>
      <c r="B17" s="20">
        <v>42.105263157894733</v>
      </c>
      <c r="C17" s="20">
        <v>46.370370370370374</v>
      </c>
      <c r="D17" s="20">
        <v>44.732576985413289</v>
      </c>
      <c r="E17" s="20">
        <v>44.402736837892803</v>
      </c>
    </row>
    <row r="18" spans="1:5" x14ac:dyDescent="0.3">
      <c r="A18" s="24">
        <v>42461</v>
      </c>
      <c r="B18" s="20">
        <v>45.87280108254398</v>
      </c>
      <c r="C18" s="20">
        <v>45.095168374816986</v>
      </c>
      <c r="D18" s="20">
        <v>44.371941272430668</v>
      </c>
      <c r="E18" s="20">
        <v>45.113303576597211</v>
      </c>
    </row>
    <row r="19" spans="1:5" x14ac:dyDescent="0.3">
      <c r="A19" s="24">
        <v>42491</v>
      </c>
      <c r="B19" s="20">
        <v>41.895261845386536</v>
      </c>
      <c r="C19" s="20">
        <v>44.165435745937963</v>
      </c>
      <c r="D19" s="20">
        <v>42.378048780487802</v>
      </c>
      <c r="E19" s="20">
        <v>42.812915457270769</v>
      </c>
    </row>
    <row r="20" spans="1:5" x14ac:dyDescent="0.3">
      <c r="A20" s="24">
        <v>42522</v>
      </c>
      <c r="B20" s="20">
        <v>44.230769230769226</v>
      </c>
      <c r="C20" s="20">
        <v>42.261904761904759</v>
      </c>
      <c r="D20" s="20">
        <v>41.627543035993739</v>
      </c>
      <c r="E20" s="20">
        <v>42.706739009555911</v>
      </c>
    </row>
    <row r="21" spans="1:5" x14ac:dyDescent="0.3">
      <c r="A21" s="24">
        <v>42552</v>
      </c>
      <c r="B21" s="20">
        <v>47.664835164835168</v>
      </c>
      <c r="C21" s="20">
        <v>45.705967976710333</v>
      </c>
      <c r="D21" s="20">
        <v>49.542682926829265</v>
      </c>
      <c r="E21" s="20">
        <v>47.637828689458253</v>
      </c>
    </row>
    <row r="22" spans="1:5" x14ac:dyDescent="0.3">
      <c r="A22" s="24">
        <v>42583</v>
      </c>
      <c r="B22" s="20">
        <v>43.363994743758212</v>
      </c>
      <c r="C22" s="20">
        <v>47.448275862068968</v>
      </c>
      <c r="D22" s="20">
        <v>45.705967976710333</v>
      </c>
      <c r="E22" s="20">
        <v>45.506079527512505</v>
      </c>
    </row>
    <row r="23" spans="1:5" x14ac:dyDescent="0.3">
      <c r="A23" s="24">
        <v>42614</v>
      </c>
      <c r="B23" s="20">
        <v>45.165562913907287</v>
      </c>
      <c r="C23" s="20">
        <v>44.444444444444443</v>
      </c>
      <c r="D23" s="20">
        <v>46.29032258064516</v>
      </c>
      <c r="E23" s="20">
        <v>45.300109979665628</v>
      </c>
    </row>
    <row r="24" spans="1:5" x14ac:dyDescent="0.3">
      <c r="A24" s="24">
        <v>42644</v>
      </c>
      <c r="B24" s="20">
        <v>45.019920318725099</v>
      </c>
      <c r="C24" s="20">
        <v>44.137931034482762</v>
      </c>
      <c r="D24" s="20">
        <v>39.274924471299094</v>
      </c>
      <c r="E24" s="20">
        <v>42.810925274835654</v>
      </c>
    </row>
    <row r="25" spans="1:5" x14ac:dyDescent="0.3">
      <c r="A25" s="24">
        <v>42675</v>
      </c>
      <c r="B25" s="20">
        <v>44.91180461329715</v>
      </c>
      <c r="C25" s="20">
        <v>44.969512195121951</v>
      </c>
      <c r="D25" s="20">
        <v>50.558213716108455</v>
      </c>
      <c r="E25" s="20">
        <v>46.813176841509183</v>
      </c>
    </row>
    <row r="26" spans="1:5" x14ac:dyDescent="0.3">
      <c r="A26" s="24">
        <v>42705</v>
      </c>
      <c r="B26" s="20">
        <v>45.136186770428019</v>
      </c>
      <c r="C26" s="20">
        <v>43.586005830903787</v>
      </c>
      <c r="D26" s="20">
        <v>43.106180665610147</v>
      </c>
      <c r="E26" s="20">
        <v>43.942791088980648</v>
      </c>
    </row>
    <row r="27" spans="1:5" x14ac:dyDescent="0.3">
      <c r="A27" s="24">
        <v>42736</v>
      </c>
      <c r="B27" s="20">
        <v>47.6882430647292</v>
      </c>
      <c r="C27" s="20">
        <v>49.62292609351433</v>
      </c>
      <c r="D27" s="20">
        <v>48.929663608562691</v>
      </c>
      <c r="E27" s="20">
        <v>48.746944255602074</v>
      </c>
    </row>
    <row r="28" spans="1:5" x14ac:dyDescent="0.3">
      <c r="A28" s="24">
        <v>42767</v>
      </c>
      <c r="B28" s="20">
        <v>46.695402298850574</v>
      </c>
      <c r="C28" s="20">
        <v>46.804835924006909</v>
      </c>
      <c r="D28" s="20">
        <v>46.794871794871796</v>
      </c>
      <c r="E28" s="20">
        <v>46.765036672576429</v>
      </c>
    </row>
    <row r="29" spans="1:5" x14ac:dyDescent="0.3">
      <c r="A29" s="24">
        <v>42795</v>
      </c>
      <c r="B29" s="20">
        <v>46.825396825396822</v>
      </c>
      <c r="C29" s="20">
        <v>46.418732782369148</v>
      </c>
      <c r="D29" s="20">
        <v>47.63358778625954</v>
      </c>
      <c r="E29" s="20">
        <v>46.959239131341839</v>
      </c>
    </row>
    <row r="30" spans="1:5" x14ac:dyDescent="0.3">
      <c r="A30" s="24">
        <v>42826</v>
      </c>
      <c r="B30" s="20">
        <v>45.625841184387617</v>
      </c>
      <c r="C30" s="20">
        <v>46.385542168674696</v>
      </c>
      <c r="D30" s="20">
        <v>44.182124789207421</v>
      </c>
      <c r="E30" s="20">
        <v>45.397836047423247</v>
      </c>
    </row>
    <row r="31" spans="1:5" x14ac:dyDescent="0.3">
      <c r="A31" s="24">
        <v>42856</v>
      </c>
      <c r="B31" s="20">
        <v>46.657571623465209</v>
      </c>
      <c r="C31" s="20">
        <v>44.054054054054056</v>
      </c>
      <c r="D31" s="20">
        <v>46.191247974068069</v>
      </c>
      <c r="E31" s="20">
        <v>45.634291217195774</v>
      </c>
    </row>
    <row r="32" spans="1:5" x14ac:dyDescent="0.3">
      <c r="A32" s="24">
        <v>42887</v>
      </c>
      <c r="B32" s="20">
        <v>43.49157733537519</v>
      </c>
      <c r="C32" s="20">
        <v>48.592592592592595</v>
      </c>
      <c r="D32" s="20">
        <v>45.382165605095544</v>
      </c>
      <c r="E32" s="20">
        <v>45.822111844354446</v>
      </c>
    </row>
    <row r="33" spans="1:5" x14ac:dyDescent="0.3">
      <c r="A33" s="24">
        <v>42917</v>
      </c>
      <c r="B33" s="20">
        <v>44.444444444444443</v>
      </c>
      <c r="C33" s="20">
        <v>43.422913719943423</v>
      </c>
      <c r="D33" s="20">
        <v>47.702060221870049</v>
      </c>
      <c r="E33" s="20">
        <v>45.189806128752643</v>
      </c>
    </row>
    <row r="34" spans="1:5" x14ac:dyDescent="0.3">
      <c r="A34" s="24">
        <v>42948</v>
      </c>
      <c r="B34" s="20">
        <v>43.50132625994695</v>
      </c>
      <c r="C34" s="20">
        <v>45.427728613569322</v>
      </c>
      <c r="D34" s="20">
        <v>41.704718417047182</v>
      </c>
      <c r="E34" s="20">
        <v>43.544591096854482</v>
      </c>
    </row>
    <row r="35" spans="1:5" x14ac:dyDescent="0.3">
      <c r="A35" s="24">
        <v>42979</v>
      </c>
      <c r="B35" s="20">
        <v>48.082191780821923</v>
      </c>
      <c r="C35" s="20">
        <v>46.676737160120844</v>
      </c>
      <c r="D35" s="20">
        <v>45.709828393135723</v>
      </c>
      <c r="E35" s="20">
        <v>46.822919111359489</v>
      </c>
    </row>
    <row r="36" spans="1:5" x14ac:dyDescent="0.3">
      <c r="A36" s="24">
        <v>43009</v>
      </c>
      <c r="B36" s="20">
        <v>59.45945945945946</v>
      </c>
      <c r="C36" s="20">
        <v>56.25</v>
      </c>
      <c r="D36" s="20">
        <v>51.851851851851848</v>
      </c>
      <c r="E36" s="20">
        <v>55.853770437103769</v>
      </c>
    </row>
    <row r="37" spans="1:5" x14ac:dyDescent="0.3">
      <c r="A37" s="24" t="s">
        <v>66</v>
      </c>
      <c r="B37" s="20">
        <v>45.660848530117192</v>
      </c>
      <c r="C37" s="20">
        <v>45.918177690503619</v>
      </c>
      <c r="D37" s="20">
        <v>45.598488979973517</v>
      </c>
      <c r="E37" s="20">
        <v>45.725838400198114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8D181-F550-4D15-9E99-7DF526E729BE}">
  <sheetPr codeName="Sheet7"/>
  <dimension ref="A3:B7"/>
  <sheetViews>
    <sheetView workbookViewId="0">
      <selection activeCell="B7" sqref="B7"/>
    </sheetView>
  </sheetViews>
  <sheetFormatPr defaultRowHeight="14.4" x14ac:dyDescent="0.3"/>
  <cols>
    <col min="1" max="1" width="15.44140625" bestFit="1" customWidth="1"/>
    <col min="2" max="2" width="18.44140625" bestFit="1" customWidth="1"/>
  </cols>
  <sheetData>
    <row r="3" spans="1:2" x14ac:dyDescent="0.3">
      <c r="A3" s="1" t="s">
        <v>65</v>
      </c>
      <c r="B3" t="s">
        <v>72</v>
      </c>
    </row>
    <row r="4" spans="1:2" x14ac:dyDescent="0.3">
      <c r="A4" s="2" t="s">
        <v>12</v>
      </c>
      <c r="B4" s="20">
        <v>24551</v>
      </c>
    </row>
    <row r="5" spans="1:2" x14ac:dyDescent="0.3">
      <c r="A5" s="2" t="s">
        <v>25</v>
      </c>
      <c r="B5" s="20">
        <v>22246</v>
      </c>
    </row>
    <row r="6" spans="1:2" x14ac:dyDescent="0.3">
      <c r="A6" s="2" t="s">
        <v>30</v>
      </c>
      <c r="B6" s="20">
        <v>21035</v>
      </c>
    </row>
    <row r="7" spans="1:2" x14ac:dyDescent="0.3">
      <c r="A7" s="2" t="s">
        <v>66</v>
      </c>
      <c r="B7" s="20">
        <v>67832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1263F-9271-4305-86D9-63FFA7C92C37}">
  <sheetPr codeName="Sheet8"/>
  <dimension ref="A3:B7"/>
  <sheetViews>
    <sheetView zoomScale="83" workbookViewId="0">
      <selection activeCell="A3" sqref="A3"/>
    </sheetView>
  </sheetViews>
  <sheetFormatPr defaultRowHeight="14.4" x14ac:dyDescent="0.3"/>
  <cols>
    <col min="1" max="1" width="15.77734375" bestFit="1" customWidth="1"/>
    <col min="2" max="2" width="24.21875" bestFit="1" customWidth="1"/>
    <col min="3" max="3" width="14.5546875" bestFit="1" customWidth="1"/>
    <col min="4" max="4" width="16.21875" bestFit="1" customWidth="1"/>
    <col min="5" max="7" width="12" bestFit="1" customWidth="1"/>
    <col min="8" max="8" width="13.88671875" bestFit="1" customWidth="1"/>
    <col min="9" max="9" width="11" bestFit="1" customWidth="1"/>
    <col min="10" max="10" width="16.109375" bestFit="1" customWidth="1"/>
    <col min="11" max="11" width="16.21875" bestFit="1" customWidth="1"/>
    <col min="12" max="12" width="12" bestFit="1" customWidth="1"/>
    <col min="13" max="13" width="16.77734375" bestFit="1" customWidth="1"/>
    <col min="14" max="15" width="12" bestFit="1" customWidth="1"/>
    <col min="16" max="16" width="19.21875" bestFit="1" customWidth="1"/>
    <col min="17" max="20" width="12" bestFit="1" customWidth="1"/>
    <col min="21" max="21" width="16.77734375" bestFit="1" customWidth="1"/>
    <col min="22" max="24" width="12" bestFit="1" customWidth="1"/>
    <col min="25" max="25" width="15.44140625" bestFit="1" customWidth="1"/>
    <col min="26" max="28" width="12" bestFit="1" customWidth="1"/>
    <col min="29" max="29" width="16.5546875" bestFit="1" customWidth="1"/>
    <col min="30" max="30" width="12" bestFit="1" customWidth="1"/>
    <col min="31" max="31" width="17.77734375" bestFit="1" customWidth="1"/>
    <col min="32" max="32" width="21" bestFit="1" customWidth="1"/>
    <col min="33" max="33" width="13.88671875" bestFit="1" customWidth="1"/>
    <col min="34" max="34" width="12" bestFit="1" customWidth="1"/>
    <col min="35" max="35" width="13.6640625" bestFit="1" customWidth="1"/>
    <col min="36" max="36" width="14.5546875" bestFit="1" customWidth="1"/>
    <col min="37" max="37" width="15.109375" bestFit="1" customWidth="1"/>
    <col min="38" max="39" width="12" bestFit="1" customWidth="1"/>
    <col min="40" max="40" width="12.88671875" bestFit="1" customWidth="1"/>
    <col min="41" max="41" width="11" bestFit="1" customWidth="1"/>
    <col min="42" max="42" width="14" bestFit="1" customWidth="1"/>
    <col min="43" max="43" width="15.5546875" bestFit="1" customWidth="1"/>
    <col min="44" max="44" width="15.77734375" bestFit="1" customWidth="1"/>
    <col min="45" max="48" width="12" bestFit="1" customWidth="1"/>
    <col min="49" max="49" width="16" bestFit="1" customWidth="1"/>
    <col min="50" max="50" width="16.44140625" bestFit="1" customWidth="1"/>
    <col min="51" max="51" width="18" bestFit="1" customWidth="1"/>
    <col min="52" max="52" width="12" bestFit="1" customWidth="1"/>
  </cols>
  <sheetData>
    <row r="3" spans="1:2" x14ac:dyDescent="0.3">
      <c r="A3" s="1" t="s">
        <v>65</v>
      </c>
      <c r="B3" t="s">
        <v>76</v>
      </c>
    </row>
    <row r="4" spans="1:2" x14ac:dyDescent="0.3">
      <c r="A4" s="2" t="s">
        <v>12</v>
      </c>
      <c r="B4" s="20">
        <v>3.4875446489608546</v>
      </c>
    </row>
    <row r="5" spans="1:2" x14ac:dyDescent="0.3">
      <c r="A5" s="2" t="s">
        <v>25</v>
      </c>
      <c r="B5" s="20">
        <v>3.4779198476803335</v>
      </c>
    </row>
    <row r="6" spans="1:2" x14ac:dyDescent="0.3">
      <c r="A6" s="2" t="s">
        <v>30</v>
      </c>
      <c r="B6" s="20">
        <v>3.4605548342362464</v>
      </c>
    </row>
    <row r="7" spans="1:2" x14ac:dyDescent="0.3">
      <c r="A7" s="2" t="s">
        <v>66</v>
      </c>
      <c r="B7" s="20">
        <v>3.4753397769591445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8463153-D57E-45CF-9B60-FDDDDCC910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KPI Dashboard</vt:lpstr>
      <vt:lpstr>Forecast</vt:lpstr>
      <vt:lpstr>Raw Data</vt:lpstr>
      <vt:lpstr>Pivot</vt:lpstr>
      <vt:lpstr>monthly_problem_order_rate</vt:lpstr>
      <vt:lpstr>Pivot Table 1</vt:lpstr>
      <vt:lpstr>Pivot Table 2</vt:lpstr>
      <vt:lpstr>Pivot Table 3</vt:lpstr>
      <vt:lpstr>AvgLateD</vt:lpstr>
      <vt:lpstr>AvgLeadTime</vt:lpstr>
      <vt:lpstr>AvgOTD</vt:lpstr>
      <vt:lpstr>BestMonthotd</vt:lpstr>
      <vt:lpstr>TotalLateOrders</vt:lpstr>
      <vt:lpstr>TotalOrders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Dibyashree Dey</dc:creator>
  <cp:lastModifiedBy>Dibyashree Dey</cp:lastModifiedBy>
  <dcterms:created xsi:type="dcterms:W3CDTF">2026-06-22T12:57:38Z</dcterms:created>
  <dcterms:modified xsi:type="dcterms:W3CDTF">2026-07-20T21:05:48Z</dcterms:modified>
</cp:coreProperties>
</file>